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agamentos" sheetId="1" state="visible" r:id="rId3"/>
    <sheet name="Apuração" sheetId="2" state="hidden" r:id="rId4"/>
    <sheet name="ORGANIZAÇÃO" sheetId="3" state="visible" r:id="rId5"/>
    <sheet name="MATA-MATA 32" sheetId="4" state="visible" r:id="rId6"/>
    <sheet name="MATA-MATA 16" sheetId="5" state="visible" r:id="rId7"/>
    <sheet name="MATA-MATA 8" sheetId="6" state="visible" r:id="rId8"/>
    <sheet name="MATA-MATA 4" sheetId="7" state="visible" r:id="rId9"/>
    <sheet name="MATA-MATA 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<sst xmlns="http://schemas.openxmlformats.org/spreadsheetml/2006/main" count="2196" uniqueCount="180">
  <si>
    <t xml:space="preserve">BOLÃO DA COPA 2026</t>
  </si>
  <si>
    <t xml:space="preserve">Participantes</t>
  </si>
  <si>
    <t xml:space="preserve">Pago</t>
  </si>
  <si>
    <t xml:space="preserve">Alex</t>
  </si>
  <si>
    <t xml:space="preserve">Ok</t>
  </si>
  <si>
    <t xml:space="preserve">Bonfim</t>
  </si>
  <si>
    <t xml:space="preserve">Christian</t>
  </si>
  <si>
    <t xml:space="preserve">Daniel</t>
  </si>
  <si>
    <t xml:space="preserve">Douglas</t>
  </si>
  <si>
    <t xml:space="preserve">Dunga</t>
  </si>
  <si>
    <t xml:space="preserve">Gabriel</t>
  </si>
  <si>
    <t xml:space="preserve">Gustavo</t>
  </si>
  <si>
    <t xml:space="preserve">Gustavo Lima</t>
  </si>
  <si>
    <t xml:space="preserve">Heitor</t>
  </si>
  <si>
    <t xml:space="preserve">Leonardo</t>
  </si>
  <si>
    <t xml:space="preserve">Patrick</t>
  </si>
  <si>
    <t xml:space="preserve">Rasta</t>
  </si>
  <si>
    <t xml:space="preserve">Renan</t>
  </si>
  <si>
    <t xml:space="preserve">Felipe</t>
  </si>
  <si>
    <t xml:space="preserve">Sanches</t>
  </si>
  <si>
    <t xml:space="preserve">APURAÇÃO — RANKING DO BOLÃO COPA 2026</t>
  </si>
  <si>
    <t xml:space="preserve">#</t>
  </si>
  <si>
    <t xml:space="preserve">Participante</t>
  </si>
  <si>
    <t xml:space="preserve">Acertos</t>
  </si>
  <si>
    <t xml:space="preserve">Pontos</t>
  </si>
  <si>
    <t xml:space="preserve">Posição</t>
  </si>
  <si>
    <t xml:space="preserve">Pontos por acerto</t>
  </si>
  <si>
    <t xml:space="preserve">Por acerto</t>
  </si>
  <si>
    <t xml:space="preserve">Como funciona</t>
  </si>
  <si>
    <t xml:space="preserve">Preencha a coluna 'Result.' na aba de palpites (A/E/B). O ranking atualiza sozinho.</t>
  </si>
  <si>
    <t xml:space="preserve">DATAS</t>
  </si>
  <si>
    <t xml:space="preserve">CONFRONTOS</t>
  </si>
  <si>
    <t xml:space="preserve">TIME A</t>
  </si>
  <si>
    <t xml:space="preserve">TIME B</t>
  </si>
  <si>
    <t xml:space="preserve">PLACAR</t>
  </si>
  <si>
    <t xml:space="preserve">Cleiton</t>
  </si>
  <si>
    <t xml:space="preserve">David</t>
  </si>
  <si>
    <t xml:space="preserve">Giliarde</t>
  </si>
  <si>
    <t xml:space="preserve">Juninho</t>
  </si>
  <si>
    <t xml:space="preserve">Gols A</t>
  </si>
  <si>
    <t xml:space="preserve">Gols B</t>
  </si>
  <si>
    <t xml:space="preserve">RESULTADO</t>
  </si>
  <si>
    <t xml:space="preserve">México x África do Sul</t>
  </si>
  <si>
    <t xml:space="preserve">2x0</t>
  </si>
  <si>
    <t xml:space="preserve">A</t>
  </si>
  <si>
    <t xml:space="preserve">B</t>
  </si>
  <si>
    <t xml:space="preserve">E</t>
  </si>
  <si>
    <t xml:space="preserve">Coreia do Sul x Tchéquia</t>
  </si>
  <si>
    <t xml:space="preserve">2x1</t>
  </si>
  <si>
    <t xml:space="preserve">Canadá x Bósnia e Herzeg.</t>
  </si>
  <si>
    <t xml:space="preserve">1x1</t>
  </si>
  <si>
    <t xml:space="preserve">Estados Unidos x Paraguai</t>
  </si>
  <si>
    <t xml:space="preserve">4x1</t>
  </si>
  <si>
    <t xml:space="preserve">Catar x Suíça</t>
  </si>
  <si>
    <t xml:space="preserve">Brasil x Marrocos</t>
  </si>
  <si>
    <t xml:space="preserve">Haiti x Escócia</t>
  </si>
  <si>
    <t xml:space="preserve">0x1</t>
  </si>
  <si>
    <t xml:space="preserve">Austrália x Turquia</t>
  </si>
  <si>
    <t xml:space="preserve">Alemanha x Curaçao</t>
  </si>
  <si>
    <t xml:space="preserve">7x1</t>
  </si>
  <si>
    <t xml:space="preserve">Costa do Marfim x Equador</t>
  </si>
  <si>
    <t xml:space="preserve">1x0</t>
  </si>
  <si>
    <t xml:space="preserve">Países Baixos x Japão</t>
  </si>
  <si>
    <t xml:space="preserve">2x2</t>
  </si>
  <si>
    <t xml:space="preserve">Suécia x Tunísia</t>
  </si>
  <si>
    <t xml:space="preserve">5x1</t>
  </si>
  <si>
    <t xml:space="preserve">Bélgica x Egito</t>
  </si>
  <si>
    <t xml:space="preserve">Irã x Nova Zelândia</t>
  </si>
  <si>
    <t xml:space="preserve">Espanha x Cabo Verde</t>
  </si>
  <si>
    <t xml:space="preserve">0x0</t>
  </si>
  <si>
    <t xml:space="preserve">Arábia Saudita x Uruguai</t>
  </si>
  <si>
    <t xml:space="preserve">França x Senegal</t>
  </si>
  <si>
    <t xml:space="preserve">3x1</t>
  </si>
  <si>
    <t xml:space="preserve">Iraque x Noruega</t>
  </si>
  <si>
    <t xml:space="preserve">1x4</t>
  </si>
  <si>
    <t xml:space="preserve">Argentina x Argélia</t>
  </si>
  <si>
    <t xml:space="preserve">3x0</t>
  </si>
  <si>
    <t xml:space="preserve">Áustria x Jordânia</t>
  </si>
  <si>
    <t xml:space="preserve">Portugal x Rep. Dem. Congo</t>
  </si>
  <si>
    <t xml:space="preserve">Uzbequistão x Colômbia</t>
  </si>
  <si>
    <t xml:space="preserve">1x3</t>
  </si>
  <si>
    <t xml:space="preserve">Inglaterra x Croácia</t>
  </si>
  <si>
    <t xml:space="preserve">4x2</t>
  </si>
  <si>
    <t xml:space="preserve">Gana x Panamá</t>
  </si>
  <si>
    <t xml:space="preserve">Tchéquia x África do Sul</t>
  </si>
  <si>
    <t xml:space="preserve">México x Coreia do Sul</t>
  </si>
  <si>
    <t xml:space="preserve">Suíça x Bósnia e Herzeg.</t>
  </si>
  <si>
    <t xml:space="preserve">Canadá x Catar</t>
  </si>
  <si>
    <t xml:space="preserve">6x0</t>
  </si>
  <si>
    <t xml:space="preserve">Escócia x Marrocos</t>
  </si>
  <si>
    <t xml:space="preserve">Brasil x Haiti</t>
  </si>
  <si>
    <t xml:space="preserve">Estados Unidos x Austrália</t>
  </si>
  <si>
    <t xml:space="preserve">Turquia x Paraguai</t>
  </si>
  <si>
    <t xml:space="preserve">Alemanha x Costa do Marfim</t>
  </si>
  <si>
    <t xml:space="preserve">Equador x Curaçao</t>
  </si>
  <si>
    <t xml:space="preserve">Países Baixos x Suécia</t>
  </si>
  <si>
    <t xml:space="preserve">Tunísia x Japão</t>
  </si>
  <si>
    <t xml:space="preserve">0x4</t>
  </si>
  <si>
    <t xml:space="preserve">Bélgica x Irã</t>
  </si>
  <si>
    <t xml:space="preserve">Nova Zelândia x Egito</t>
  </si>
  <si>
    <t xml:space="preserve">Espanha x Arábia Saudita</t>
  </si>
  <si>
    <t xml:space="preserve">4x0</t>
  </si>
  <si>
    <t xml:space="preserve">Uruguai x Cabo Verde</t>
  </si>
  <si>
    <t xml:space="preserve">França x Iraque</t>
  </si>
  <si>
    <t xml:space="preserve">Noruega x Senegal</t>
  </si>
  <si>
    <t xml:space="preserve">3x2</t>
  </si>
  <si>
    <t xml:space="preserve">Argentina x Áustria</t>
  </si>
  <si>
    <t xml:space="preserve">Jordânia x Argélia</t>
  </si>
  <si>
    <t xml:space="preserve">1x2</t>
  </si>
  <si>
    <t xml:space="preserve">Portugal x Uzbequistão</t>
  </si>
  <si>
    <t xml:space="preserve">5x0</t>
  </si>
  <si>
    <t xml:space="preserve">Colômbia x Rep. Dem. Congo</t>
  </si>
  <si>
    <t xml:space="preserve">1X0</t>
  </si>
  <si>
    <t xml:space="preserve">Inglaterra x Gana</t>
  </si>
  <si>
    <t xml:space="preserve">Panamá x Croácia</t>
  </si>
  <si>
    <t xml:space="preserve">0X1</t>
  </si>
  <si>
    <t xml:space="preserve">África do Sul x Coreia do Sul</t>
  </si>
  <si>
    <t xml:space="preserve">Tchéquia x México</t>
  </si>
  <si>
    <t xml:space="preserve">0x3</t>
  </si>
  <si>
    <t xml:space="preserve">Suíça x Canadá</t>
  </si>
  <si>
    <t xml:space="preserve">Bósnia e Herzeg. x Catar</t>
  </si>
  <si>
    <t xml:space="preserve">Marrocos x Haiti</t>
  </si>
  <si>
    <t xml:space="preserve">Escócia x Brasil</t>
  </si>
  <si>
    <t xml:space="preserve">Turquia x Estados Unidos</t>
  </si>
  <si>
    <t xml:space="preserve">Paraguai x Austrália</t>
  </si>
  <si>
    <t xml:space="preserve">Curaçao x Costa do Marfim</t>
  </si>
  <si>
    <t xml:space="preserve">0x2</t>
  </si>
  <si>
    <t xml:space="preserve">Equador x Alemanha</t>
  </si>
  <si>
    <t xml:space="preserve">Tunísia x Países Baixos</t>
  </si>
  <si>
    <t xml:space="preserve">Japão x Suécia</t>
  </si>
  <si>
    <t xml:space="preserve">Nova Zelândia x Bélgica</t>
  </si>
  <si>
    <t xml:space="preserve">1x5</t>
  </si>
  <si>
    <t xml:space="preserve">Egito x Irã</t>
  </si>
  <si>
    <t xml:space="preserve">Cabo Verde x Arábia Saudita</t>
  </si>
  <si>
    <t xml:space="preserve">Uruguai x Espanha</t>
  </si>
  <si>
    <t xml:space="preserve">Noruega x França</t>
  </si>
  <si>
    <t xml:space="preserve">Senegal x Iraque</t>
  </si>
  <si>
    <t xml:space="preserve">Argélia x Áustria</t>
  </si>
  <si>
    <t xml:space="preserve">3x3</t>
  </si>
  <si>
    <t xml:space="preserve">Jordânia x Argentina</t>
  </si>
  <si>
    <t xml:space="preserve">Colômbia x Portugal</t>
  </si>
  <si>
    <t xml:space="preserve">Rep. Dem. Congo x Uzbequistão</t>
  </si>
  <si>
    <t xml:space="preserve">Panamá x Inglaterra</t>
  </si>
  <si>
    <t xml:space="preserve">Croácia x Gana</t>
  </si>
  <si>
    <t xml:space="preserve">TOTAL</t>
  </si>
  <si>
    <t xml:space="preserve">Penalti</t>
  </si>
  <si>
    <t xml:space="preserve">Prorrogação</t>
  </si>
  <si>
    <t xml:space="preserve">África do Sul x Canadá</t>
  </si>
  <si>
    <t xml:space="preserve">Alemanha x Paraguai</t>
  </si>
  <si>
    <t xml:space="preserve">Países Baixos x Marrocos</t>
  </si>
  <si>
    <t xml:space="preserve">Brasil x Japão</t>
  </si>
  <si>
    <t xml:space="preserve">França x Suécia</t>
  </si>
  <si>
    <t xml:space="preserve">3X0</t>
  </si>
  <si>
    <t xml:space="preserve">Costa do Marfim x Noruega</t>
  </si>
  <si>
    <t xml:space="preserve">México x Equador</t>
  </si>
  <si>
    <t xml:space="preserve">Inglaterra x Rep. Dem. Congo</t>
  </si>
  <si>
    <t xml:space="preserve">Estados Unidos x Bósnia e Herzeg.</t>
  </si>
  <si>
    <t xml:space="preserve">Bélgica x Senegal</t>
  </si>
  <si>
    <t xml:space="preserve">Portugal x Croácia</t>
  </si>
  <si>
    <t xml:space="preserve">Espanha x Áustria</t>
  </si>
  <si>
    <t xml:space="preserve">Suíça x Argélia</t>
  </si>
  <si>
    <t xml:space="preserve">Colômbia x Gana</t>
  </si>
  <si>
    <t xml:space="preserve">#x#</t>
  </si>
  <si>
    <t xml:space="preserve">Argentina x Cabo Verde</t>
  </si>
  <si>
    <t xml:space="preserve">Austrália x Egito</t>
  </si>
  <si>
    <t xml:space="preserve">Paraguai x França</t>
  </si>
  <si>
    <t xml:space="preserve">Canadá x Marrocos</t>
  </si>
  <si>
    <t xml:space="preserve">Brasil x Noruega</t>
  </si>
  <si>
    <t xml:space="preserve">México x Inglaterra</t>
  </si>
  <si>
    <t xml:space="preserve">Portugal x Espanha</t>
  </si>
  <si>
    <t xml:space="preserve">Estados Unidos x Bélgica</t>
  </si>
  <si>
    <t xml:space="preserve">Vencedor Jogo 15 x Egito</t>
  </si>
  <si>
    <t xml:space="preserve">Suíça x Vencedor Jogo 14</t>
  </si>
  <si>
    <t xml:space="preserve">Vencedor Oitava 1 x Vencedor Oitava 2</t>
  </si>
  <si>
    <t xml:space="preserve">Vencedor Oitava 3 x Vencedor Oitava 4</t>
  </si>
  <si>
    <t xml:space="preserve">Vencedor Oitava 5 x Vencedor Oitava 6</t>
  </si>
  <si>
    <t xml:space="preserve">Vencedor Oitava 7 x Vencedor Oitava 8</t>
  </si>
  <si>
    <t xml:space="preserve">Vencedor Quarta 1 x Vencedor Quarta 2</t>
  </si>
  <si>
    <t xml:space="preserve">Vencedor Quarta 3 x Vencedor Quarta 4</t>
  </si>
  <si>
    <t xml:space="preserve">Vencedor Semifinal 1 x Vencedor Semifinal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</si>
</sst>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/m/yyyy"/>
  </numFmts>
  <fonts count="2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DF00"/>
      <name val="Aptos Narrow"/>
      <family val="2"/>
      <charset val="1"/>
    </font>
    <font>
      <b val="true"/>
      <sz val="12"/>
      <color rgb="FFFFDF00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5"/>
      <color rgb="FFFFDF00"/>
      <name val="Aptos Narrow"/>
      <family val="2"/>
      <charset val="1"/>
    </font>
    <font>
      <b val="true"/>
      <sz val="11"/>
      <color rgb="FFFFDF00"/>
      <name val="Aptos Narrow"/>
      <family val="2"/>
      <charset val="1"/>
    </font>
    <font>
      <b val="true"/>
      <sz val="11"/>
      <name val="Aptos Narrow"/>
      <family val="2"/>
      <charset val="1"/>
    </font>
    <font>
      <b val="true"/>
      <i val="true"/>
      <sz val="11"/>
      <color theme="1"/>
      <name val="Aptos Narrow"/>
      <family val="2"/>
      <charset val="1"/>
    </font>
    <font>
      <i val="true"/>
      <sz val="11"/>
      <color theme="1"/>
      <name val="Aptos Narrow"/>
      <family val="2"/>
      <charset val="1"/>
    </font>
    <font>
      <b val="true"/>
      <sz val="20"/>
      <color rgb="FF002776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b val="true"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2"/>
      <color rgb="FFFFDF00"/>
      <name val="Aptos Narrow"/>
      <family val="0"/>
      <charset val="1"/>
    </font>
    <font>
      <sz val="11"/>
      <color rgb="FF000000"/>
      <name val="Aptos Narrow"/>
      <family val="0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5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 diagonalUp="false" diagonalDown="false">
      <left/>
      <right style="thin">
        <color rgb="FFBFBFBF"/>
      </right>
      <top style="medium">
        <color rgb="FF002060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002060"/>
      </top>
      <bottom/>
      <diagonal/>
    </border>
    <border diagonalUp="false" diagonalDown="false">
      <left style="thin">
        <color rgb="FFBFBFBF"/>
      </left>
      <right/>
      <top style="medium">
        <color rgb="FF002060"/>
      </top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>
        <color rgb="FF002060"/>
      </top>
      <bottom/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 diagonalUp="false" diagonalDown="false"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 diagonalUp="false" diagonalDown="false">
      <left/>
      <right/>
      <top style="medium">
        <color rgb="FF002776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 diagonalUp="false" diagonalDown="false">
      <left/>
      <right style="medium">
        <color rgb="FF002060"/>
      </right>
      <top/>
      <bottom/>
      <diagonal/>
    </border>
    <border diagonalUp="false" diagonalDown="false">
      <left style="medium">
        <color rgb="FF002060"/>
      </left>
      <right/>
      <top/>
      <bottom/>
      <diagonal/>
    </border>
    <border diagonalUp="false" diagonalDown="false">
      <left style="medium">
        <color rgb="FF002060"/>
      </left>
      <right style="medium">
        <color rgb="FF002060"/>
      </right>
      <top/>
      <bottom/>
      <diagonal/>
    </border>
    <border diagonalUp="false" diagonalDown="false">
      <left/>
      <right/>
      <top style="thin">
        <color rgb="FFBFBFBF"/>
      </top>
      <bottom style="medium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 diagonalUp="false" diagonalDown="false"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 diagonalUp="false" diagonalDown="false">
      <left/>
      <right style="medium">
        <color rgb="FF002060"/>
      </right>
      <top/>
      <bottom style="medium">
        <color rgb="FF002060"/>
      </bottom>
      <diagonal/>
    </border>
    <border diagonalUp="false" diagonalDown="false">
      <left style="medium">
        <color rgb="FF002060"/>
      </left>
      <right/>
      <top/>
      <bottom style="medium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002060"/>
      </right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002060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/>
      <top/>
      <bottom style="thin">
        <color rgb="FFBFBFBF"/>
      </bottom>
      <diagonal/>
    </border>
    <border diagonalUp="false" diagonalDown="false">
      <left style="medium"/>
      <right/>
      <top style="thin">
        <color rgb="FFBFBFBF"/>
      </top>
      <bottom/>
      <diagonal/>
    </border>
    <border diagonalUp="false" diagonalDown="false">
      <left style="medium"/>
      <right style="medium">
        <color rgb="FF002060"/>
      </right>
      <top style="thin">
        <color rgb="FFBFBFBF"/>
      </top>
      <bottom/>
      <diagonal/>
    </border>
    <border diagonalUp="false" diagonalDown="false">
      <left style="medium"/>
      <right/>
      <top style="thin">
        <color rgb="FFBFBFBF"/>
      </top>
      <bottom style="medium">
        <color rgb="FF002060"/>
      </bottom>
      <diagonal/>
    </border>
    <border diagonalUp="false" diagonalDown="false">
      <left style="medium"/>
      <right style="medium">
        <color rgb="FF002060"/>
      </right>
      <top/>
      <bottom style="thin">
        <color rgb="FFBFBFBF"/>
      </bottom>
      <diagonal/>
    </border>
    <border diagonalUp="false" diagonalDown="false">
      <left style="medium"/>
      <right/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medium">
        <color rgb="FF002060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medium">
        <color rgb="FF002060"/>
      </right>
      <top style="thin">
        <color rgb="FFBFBFBF"/>
      </top>
      <bottom style="medium">
        <color rgb="FF002060"/>
      </bottom>
      <diagonal/>
    </border>
    <border diagonalUp="false" diagonalDown="false">
      <left/>
      <right style="medium">
        <color rgb="FF002060"/>
      </right>
      <top/>
      <bottom style="thin">
        <color rgb="FFBFBFBF"/>
      </bottom>
      <diagonal/>
    </border>
    <border diagonalUp="false" diagonalDown="false"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medium">
        <color rgb="FF002060"/>
      </right>
      <top style="thin">
        <color rgb="FFBFBFBF"/>
      </top>
      <bottom/>
      <diagonal/>
    </border>
    <border diagonalUp="false" diagonalDown="false"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 diagonalUp="false" diagonalDown="false"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 diagonalUp="false" diagonalDown="false">
      <left style="thin">
        <color rgb="FFBFBFBF"/>
      </left>
      <right style="thin">
        <color theme="0"/>
      </right>
      <top style="thin">
        <color rgb="FFBFBFBF"/>
      </top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>
        <color rgb="FF002060"/>
      </right>
      <top style="medium">
        <color rgb="FF002060"/>
      </top>
      <bottom/>
      <diagonal/>
    </border>
    <border diagonalUp="false" diagonalDown="false">
      <left style="medium">
        <color rgb="FF002060"/>
      </left>
      <right/>
      <top style="medium">
        <color rgb="FF002060"/>
      </top>
      <bottom/>
      <diagonal/>
    </border>
    <border diagonalUp="false" diagonalDown="false"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 diagonalUp="false" diagonalDown="false">
      <left/>
      <right/>
      <top/>
      <bottom style="medium">
        <color rgb="FF002060"/>
      </bottom>
      <diagonal/>
    </border>
    <border diagonalUp="false" diagonalDown="false"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 diagonalUp="false" diagonalDown="false"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 diagonalUp="false" diagonalDown="false">
      <left style="medium">
        <color rgb="FF002060"/>
      </left>
      <right/>
      <top/>
      <bottom style="thin">
        <color rgb="FFBFBFBF"/>
      </bottom>
      <diagonal/>
    </border>
    <border diagonalUp="false" diagonalDown="false">
      <left/>
      <right/>
      <top style="medium">
        <color rgb="FF002776"/>
      </top>
      <bottom style="medium">
        <color rgb="FF002060"/>
      </bottom>
      <diagonal/>
    </border>
    <border diagonalUp="false" diagonalDown="false"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6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3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10" xfId="0" applyFont="false" applyBorder="true" applyAlignment="true" applyProtection="false">
      <alignment horizontal="center" vertical="center" textRotation="45" wrapText="false" indent="0" shrinkToFit="false"/>
      <protection locked="true" hidden="false"/>
    </xf>
    <xf numFmtId="164" fontId="0" fillId="5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8" borderId="10" xfId="0" applyFont="false" applyBorder="true" applyAlignment="true" applyProtection="false">
      <alignment horizontal="center" vertical="center" textRotation="45" wrapText="false" indent="0" shrinkToFit="false"/>
      <protection locked="true" hidden="false"/>
    </xf>
    <xf numFmtId="164" fontId="0" fillId="8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11" xfId="0" applyFont="false" applyBorder="true" applyAlignment="true" applyProtection="false">
      <alignment horizontal="center" vertical="center" textRotation="45" wrapText="false" indent="0" shrinkToFit="false"/>
      <protection locked="true" hidden="false"/>
    </xf>
    <xf numFmtId="164" fontId="0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48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3" fillId="2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52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4" fontId="0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4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5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center" textRotation="255" wrapText="false" indent="0" shrinkToFit="false"/>
      <protection locked="true" hidden="false"/>
    </xf>
    <xf numFmtId="165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5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5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6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9" xfId="0" applyFont="fals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00277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DF00"/>
          <bgColor rgb="FF000000"/>
        </patternFill>
      </fill>
    </dxf>
    <dxf>
      <fill>
        <patternFill patternType="solid">
          <fgColor rgb="FF009C3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FFFFFF"/>
      </font>
      <fill>
        <patternFill>
          <bgColor rgb="FF009C3B"/>
        </patternFill>
      </fill>
    </dxf>
    <dxf>
      <font>
        <b val="1"/>
      </font>
      <fill>
        <patternFill>
          <bgColor rgb="FFFFE08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olaoCopa" displayName="BolaoCopa" ref="A4:B20" headerRowCount="1" totalsRowCount="0" totalsRowShown="0">
  <autoFilter ref="A4:B20"/>
  <tableColumns count="2">
    <tableColumn id="1" name="Participantes"/>
    <tableColumn id="2" name="Pago"/>
  </tableColumns>
</table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1" activeCellId="0" sqref="D3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4.71"/>
    <col collapsed="false" customWidth="true" hidden="false" outlineLevel="0" max="3" min="2" style="0" width="14.29"/>
  </cols>
  <sheetData>
    <row r="1" customFormat="false" ht="21" hidden="false" customHeight="true" outlineLevel="0" collapsed="false">
      <c r="A1" s="1" t="s">
        <v>0</v>
      </c>
      <c r="B1" s="1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1"/>
      <c r="B2" s="1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1"/>
      <c r="B3" s="1"/>
      <c r="C3" s="2"/>
      <c r="D3" s="2"/>
      <c r="E3" s="2"/>
      <c r="F3" s="2"/>
      <c r="G3" s="2"/>
      <c r="H3" s="2"/>
    </row>
    <row r="4" customFormat="false" ht="25.5" hidden="false" customHeight="true" outlineLevel="0" collapsed="false">
      <c r="A4" s="3" t="s">
        <v>1</v>
      </c>
      <c r="B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4</v>
      </c>
    </row>
    <row r="7" customFormat="false" ht="15" hidden="false" customHeight="false" outlineLevel="0" collapsed="false">
      <c r="A7" s="4" t="s">
        <v>6</v>
      </c>
      <c r="B7" s="5" t="s">
        <v>4</v>
      </c>
    </row>
    <row r="8" customFormat="false" ht="15" hidden="false" customHeight="false" outlineLevel="0" collapsed="false">
      <c r="A8" s="4" t="s">
        <v>7</v>
      </c>
      <c r="B8" s="5" t="s">
        <v>4</v>
      </c>
    </row>
    <row r="9" customFormat="false" ht="15" hidden="false" customHeight="false" outlineLevel="0" collapsed="false">
      <c r="A9" s="4" t="s">
        <v>8</v>
      </c>
      <c r="B9" s="5" t="s">
        <v>4</v>
      </c>
    </row>
    <row r="10" customFormat="false" ht="15" hidden="false" customHeight="false" outlineLevel="0" collapsed="false">
      <c r="A10" s="4" t="s">
        <v>9</v>
      </c>
      <c r="B10" s="5" t="s">
        <v>4</v>
      </c>
    </row>
    <row r="11" customFormat="false" ht="15" hidden="false" customHeight="false" outlineLevel="0" collapsed="false">
      <c r="A11" s="4" t="s">
        <v>10</v>
      </c>
      <c r="B11" s="5" t="s">
        <v>4</v>
      </c>
    </row>
    <row r="12" customFormat="false" ht="15" hidden="false" customHeight="false" outlineLevel="0" collapsed="false">
      <c r="A12" s="4" t="s">
        <v>11</v>
      </c>
      <c r="B12" s="5" t="s">
        <v>4</v>
      </c>
    </row>
    <row r="13" customFormat="false" ht="15" hidden="false" customHeight="false" outlineLevel="0" collapsed="false">
      <c r="A13" s="4" t="s">
        <v>12</v>
      </c>
      <c r="B13" s="5" t="s">
        <v>4</v>
      </c>
    </row>
    <row r="14" customFormat="false" ht="15" hidden="false" customHeight="false" outlineLevel="0" collapsed="false">
      <c r="A14" s="4" t="s">
        <v>13</v>
      </c>
      <c r="B14" s="5" t="s">
        <v>4</v>
      </c>
    </row>
    <row r="15" customFormat="false" ht="15" hidden="false" customHeight="false" outlineLevel="0" collapsed="false">
      <c r="A15" s="4" t="s">
        <v>14</v>
      </c>
      <c r="B15" s="5" t="s">
        <v>4</v>
      </c>
    </row>
    <row r="16" customFormat="false" ht="15" hidden="false" customHeight="false" outlineLevel="0" collapsed="false">
      <c r="A16" s="4" t="s">
        <v>15</v>
      </c>
      <c r="B16" s="5" t="s">
        <v>4</v>
      </c>
    </row>
    <row r="17" customFormat="false" ht="15" hidden="false" customHeight="false" outlineLevel="0" collapsed="false">
      <c r="A17" s="4" t="s">
        <v>16</v>
      </c>
      <c r="B17" s="5" t="s">
        <v>4</v>
      </c>
    </row>
    <row r="18" customFormat="false" ht="15" hidden="false" customHeight="false" outlineLevel="0" collapsed="false">
      <c r="A18" s="4" t="s">
        <v>17</v>
      </c>
      <c r="B18" s="5" t="s">
        <v>4</v>
      </c>
    </row>
    <row r="19" customFormat="false" ht="15" hidden="false" customHeight="false" outlineLevel="0" collapsed="false">
      <c r="A19" s="4" t="s">
        <v>18</v>
      </c>
      <c r="B19" s="5" t="s">
        <v>4</v>
      </c>
    </row>
    <row r="20" customFormat="false" ht="15" hidden="false" customHeight="false" outlineLevel="0" collapsed="false">
      <c r="A20" s="4" t="s">
        <v>19</v>
      </c>
      <c r="B20" s="5" t="s">
        <v>4</v>
      </c>
    </row>
  </sheetData>
  <mergeCells count="1">
    <mergeCell ref="A1:B3"/>
  </mergeCells>
  <conditionalFormatting sqref="B5:B20">
    <cfRule type="containsText" priority="2" operator="containsText" aboveAverage="0" equalAverage="0" bottom="0" percent="0" rank="0" text="Ok" dxfId="6">
      <formula>NOT(ISERROR(SEARCH("Ok",B5)))</formula>
    </cfRule>
  </conditionalFormatting>
  <dataValidations count="1">
    <dataValidation allowBlank="true" errorStyle="stop" operator="between" showDropDown="false" showErrorMessage="true" showInputMessage="true" sqref="B5:B20" type="list">
      <formula1>"Ok,Pendente"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4" activeCellId="0" sqref="D4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5.71"/>
    <col collapsed="false" customWidth="true" hidden="false" outlineLevel="0" max="2" min="2" style="0" width="21"/>
    <col collapsed="false" customWidth="true" hidden="false" outlineLevel="0" max="7" min="3" style="0" width="12.14"/>
    <col collapsed="false" customWidth="true" hidden="false" outlineLevel="0" max="9" min="9" style="0" width="22.86"/>
    <col collapsed="false" customWidth="true" hidden="false" outlineLevel="0" max="10" min="10" style="0" width="9.57"/>
  </cols>
  <sheetData>
    <row r="1" customFormat="false" ht="30" hidden="false" customHeight="true" outlineLevel="0" collapsed="false">
      <c r="A1" s="6" t="s">
        <v>20</v>
      </c>
      <c r="B1" s="6"/>
      <c r="C1" s="6"/>
      <c r="D1" s="6"/>
      <c r="E1" s="6"/>
      <c r="F1" s="6"/>
      <c r="G1" s="6"/>
    </row>
    <row r="3" customFormat="false" ht="30" hidden="false" customHeight="true" outlineLevel="0" collapsed="false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customFormat="false" ht="15" hidden="false" customHeight="false" outlineLevel="0" collapsed="false">
      <c r="A4" s="10" t="n">
        <f aca="false">ROW()-3</f>
        <v>1</v>
      </c>
      <c r="B4" s="11" t="s">
        <v>3</v>
      </c>
      <c r="C4" s="10" t="e">
        <f aca="false" t="array" ref="C4:C4">SUMPRODUCT((#REF!&lt;&gt;"")*(INDEX(#REF!,0,$A4)=#REF!))</f>
        <v>#REF!</v>
      </c>
      <c r="D4" s="12" t="e">
        <f aca="false">C4*$J$4</f>
        <v>#REF!</v>
      </c>
      <c r="E4" s="12" t="e">
        <f aca="false">RANK(D4,$D$4:$D$17)</f>
        <v>#REF!</v>
      </c>
      <c r="I4" s="13" t="s">
        <v>27</v>
      </c>
      <c r="J4" s="8" t="n">
        <v>1</v>
      </c>
    </row>
    <row r="5" customFormat="false" ht="15" hidden="false" customHeight="false" outlineLevel="0" collapsed="false">
      <c r="A5" s="14" t="n">
        <f aca="false">ROW()-3</f>
        <v>2</v>
      </c>
      <c r="B5" s="15" t="s">
        <v>5</v>
      </c>
      <c r="C5" s="10" t="e">
        <f aca="false" t="array" ref="C5:C5">SUMPRODUCT((#REF!&lt;&gt;"")*(INDEX(#REF!,0,$A5)=#REF!))</f>
        <v>#REF!</v>
      </c>
      <c r="D5" s="12" t="e">
        <f aca="false">C5*$J$4</f>
        <v>#REF!</v>
      </c>
      <c r="E5" s="12" t="e">
        <f aca="false">RANK(D5,$D$4:$D$17)</f>
        <v>#REF!</v>
      </c>
      <c r="J5" s="9"/>
    </row>
    <row r="6" customFormat="false" ht="15" hidden="false" customHeight="false" outlineLevel="0" collapsed="false">
      <c r="A6" s="10" t="n">
        <f aca="false">ROW()-3</f>
        <v>3</v>
      </c>
      <c r="B6" s="11" t="s">
        <v>6</v>
      </c>
      <c r="C6" s="10" t="e">
        <f aca="false" t="array" ref="C6:C6">SUMPRODUCT((#REF!&lt;&gt;"")*(INDEX(#REF!,0,$A6)=#REF!))</f>
        <v>#REF!</v>
      </c>
      <c r="D6" s="12" t="e">
        <f aca="false">C6*$J$4</f>
        <v>#REF!</v>
      </c>
      <c r="E6" s="12" t="e">
        <f aca="false">RANK(D6,$D$4:$D$17)</f>
        <v>#REF!</v>
      </c>
    </row>
    <row r="7" customFormat="false" ht="15" hidden="false" customHeight="false" outlineLevel="0" collapsed="false">
      <c r="A7" s="14" t="n">
        <f aca="false">ROW()-3</f>
        <v>4</v>
      </c>
      <c r="B7" s="15" t="s">
        <v>7</v>
      </c>
      <c r="C7" s="10" t="e">
        <f aca="false" t="array" ref="C7:C7">SUMPRODUCT((#REF!&lt;&gt;"")*(INDEX(#REF!,0,$A7)=#REF!))</f>
        <v>#REF!</v>
      </c>
      <c r="D7" s="12" t="e">
        <f aca="false">C7*$J$4</f>
        <v>#REF!</v>
      </c>
      <c r="E7" s="12" t="e">
        <f aca="false">RANK(D7,$D$4:$D$17)</f>
        <v>#REF!</v>
      </c>
      <c r="I7" s="16" t="s">
        <v>28</v>
      </c>
    </row>
    <row r="8" customFormat="false" ht="15" hidden="false" customHeight="false" outlineLevel="0" collapsed="false">
      <c r="A8" s="10" t="n">
        <f aca="false">ROW()-3</f>
        <v>5</v>
      </c>
      <c r="B8" s="11" t="s">
        <v>8</v>
      </c>
      <c r="C8" s="10" t="e">
        <f aca="false" t="array" ref="C8:C8">SUMPRODUCT((#REF!&lt;&gt;"")*(INDEX(#REF!,0,$A8)=#REF!))</f>
        <v>#REF!</v>
      </c>
      <c r="D8" s="12" t="e">
        <f aca="false">C8*$J$4</f>
        <v>#REF!</v>
      </c>
      <c r="E8" s="12" t="e">
        <f aca="false">RANK(D8,$D$4:$D$17)</f>
        <v>#REF!</v>
      </c>
      <c r="I8" s="17" t="s">
        <v>29</v>
      </c>
    </row>
    <row r="9" customFormat="false" ht="15" hidden="false" customHeight="false" outlineLevel="0" collapsed="false">
      <c r="A9" s="14" t="n">
        <f aca="false">ROW()-3</f>
        <v>6</v>
      </c>
      <c r="B9" s="15" t="s">
        <v>9</v>
      </c>
      <c r="C9" s="10" t="e">
        <f aca="false" t="array" ref="C9:C9">SUMPRODUCT((#REF!&lt;&gt;"")*(INDEX(#REF!,0,$A9)=#REF!))</f>
        <v>#REF!</v>
      </c>
      <c r="D9" s="12" t="e">
        <f aca="false">C9*$J$4</f>
        <v>#REF!</v>
      </c>
      <c r="E9" s="12" t="e">
        <f aca="false">RANK(D9,$D$4:$D$17)</f>
        <v>#REF!</v>
      </c>
    </row>
    <row r="10" customFormat="false" ht="15" hidden="false" customHeight="false" outlineLevel="0" collapsed="false">
      <c r="A10" s="10" t="n">
        <f aca="false">ROW()-3</f>
        <v>7</v>
      </c>
      <c r="B10" s="11" t="s">
        <v>10</v>
      </c>
      <c r="C10" s="10" t="e">
        <f aca="false" t="array" ref="C10:C10">SUMPRODUCT((#REF!&lt;&gt;"")*(INDEX(#REF!,0,$A10)=#REF!))</f>
        <v>#REF!</v>
      </c>
      <c r="D10" s="12" t="e">
        <f aca="false">C10*$J$4</f>
        <v>#REF!</v>
      </c>
      <c r="E10" s="12" t="e">
        <f aca="false">RANK(D10,$D$4:$D$17)</f>
        <v>#REF!</v>
      </c>
    </row>
    <row r="11" customFormat="false" ht="15" hidden="false" customHeight="false" outlineLevel="0" collapsed="false">
      <c r="A11" s="14" t="n">
        <f aca="false">ROW()-3</f>
        <v>8</v>
      </c>
      <c r="B11" s="15" t="s">
        <v>11</v>
      </c>
      <c r="C11" s="10" t="e">
        <f aca="false" t="array" ref="C11:C11">SUMPRODUCT((#REF!&lt;&gt;"")*(INDEX(#REF!,0,$A11)=#REF!))</f>
        <v>#REF!</v>
      </c>
      <c r="D11" s="12" t="e">
        <f aca="false">C11*$J$4</f>
        <v>#REF!</v>
      </c>
      <c r="E11" s="12" t="e">
        <f aca="false">RANK(D11,$D$4:$D$17)</f>
        <v>#REF!</v>
      </c>
    </row>
    <row r="12" customFormat="false" ht="15" hidden="false" customHeight="false" outlineLevel="0" collapsed="false">
      <c r="A12" s="10" t="n">
        <f aca="false">ROW()-3</f>
        <v>9</v>
      </c>
      <c r="B12" s="11" t="s">
        <v>12</v>
      </c>
      <c r="C12" s="10" t="e">
        <f aca="false" t="array" ref="C12:C12">SUMPRODUCT((#REF!&lt;&gt;"")*(INDEX(#REF!,0,$A12)=#REF!))</f>
        <v>#REF!</v>
      </c>
      <c r="D12" s="12" t="e">
        <f aca="false">C12*$J$4</f>
        <v>#REF!</v>
      </c>
      <c r="E12" s="12" t="e">
        <f aca="false">RANK(D12,$D$4:$D$17)</f>
        <v>#REF!</v>
      </c>
    </row>
    <row r="13" customFormat="false" ht="15" hidden="false" customHeight="false" outlineLevel="0" collapsed="false">
      <c r="A13" s="14" t="n">
        <f aca="false">ROW()-3</f>
        <v>10</v>
      </c>
      <c r="B13" s="15" t="s">
        <v>13</v>
      </c>
      <c r="C13" s="10" t="e">
        <f aca="false" t="array" ref="C13:C13">SUMPRODUCT((#REF!&lt;&gt;"")*(INDEX(#REF!,0,$A13)=#REF!))</f>
        <v>#REF!</v>
      </c>
      <c r="D13" s="12" t="e">
        <f aca="false">C13*$J$4</f>
        <v>#REF!</v>
      </c>
      <c r="E13" s="12" t="e">
        <f aca="false">RANK(D13,$D$4:$D$17)</f>
        <v>#REF!</v>
      </c>
    </row>
    <row r="14" customFormat="false" ht="15" hidden="false" customHeight="false" outlineLevel="0" collapsed="false">
      <c r="A14" s="10" t="n">
        <f aca="false">ROW()-3</f>
        <v>11</v>
      </c>
      <c r="B14" s="11" t="s">
        <v>14</v>
      </c>
      <c r="C14" s="10" t="e">
        <f aca="false" t="array" ref="C14:C14">SUMPRODUCT((#REF!&lt;&gt;"")*(INDEX(#REF!,0,$A14)=#REF!))</f>
        <v>#REF!</v>
      </c>
      <c r="D14" s="12" t="e">
        <f aca="false">C14*$J$4</f>
        <v>#REF!</v>
      </c>
      <c r="E14" s="12" t="e">
        <f aca="false">RANK(D14,$D$4:$D$17)</f>
        <v>#REF!</v>
      </c>
    </row>
    <row r="15" customFormat="false" ht="15" hidden="false" customHeight="false" outlineLevel="0" collapsed="false">
      <c r="A15" s="14" t="n">
        <f aca="false">ROW()-3</f>
        <v>12</v>
      </c>
      <c r="B15" s="15" t="s">
        <v>15</v>
      </c>
      <c r="C15" s="10" t="e">
        <f aca="false" t="array" ref="C15:C15">SUMPRODUCT((#REF!&lt;&gt;"")*(INDEX(#REF!,0,$A15)=#REF!))</f>
        <v>#REF!</v>
      </c>
      <c r="D15" s="12" t="e">
        <f aca="false">C15*$J$4</f>
        <v>#REF!</v>
      </c>
      <c r="E15" s="12" t="e">
        <f aca="false">RANK(D15,$D$4:$D$17)</f>
        <v>#REF!</v>
      </c>
    </row>
    <row r="16" customFormat="false" ht="15" hidden="false" customHeight="false" outlineLevel="0" collapsed="false">
      <c r="A16" s="10" t="n">
        <f aca="false">ROW()-3</f>
        <v>13</v>
      </c>
      <c r="B16" s="11" t="s">
        <v>16</v>
      </c>
      <c r="C16" s="10" t="e">
        <f aca="false" t="array" ref="C16:C16">SUMPRODUCT((#REF!&lt;&gt;"")*(INDEX(#REF!,0,$A16)=#REF!))</f>
        <v>#REF!</v>
      </c>
      <c r="D16" s="12" t="e">
        <f aca="false">C16*$J$4</f>
        <v>#REF!</v>
      </c>
      <c r="E16" s="12" t="e">
        <f aca="false">RANK(D16,$D$4:$D$17)</f>
        <v>#REF!</v>
      </c>
    </row>
    <row r="17" customFormat="false" ht="15" hidden="false" customHeight="false" outlineLevel="0" collapsed="false">
      <c r="A17" s="14" t="n">
        <f aca="false">ROW()-3</f>
        <v>14</v>
      </c>
      <c r="B17" s="15" t="s">
        <v>17</v>
      </c>
      <c r="C17" s="10" t="e">
        <f aca="false" t="array" ref="C17:C17">SUMPRODUCT((#REF!&lt;&gt;"")*(INDEX(#REF!,0,$A17)=#REF!))</f>
        <v>#REF!</v>
      </c>
      <c r="D17" s="12" t="e">
        <f aca="false">C17*$J$4</f>
        <v>#REF!</v>
      </c>
      <c r="E17" s="12" t="e">
        <f aca="false">RANK(D17,$D$4:$D$17)</f>
        <v>#REF!</v>
      </c>
    </row>
  </sheetData>
  <mergeCells count="1">
    <mergeCell ref="A1:G1"/>
  </mergeCells>
  <conditionalFormatting sqref="A4:E17">
    <cfRule type="expression" priority="2" aboveAverage="0" equalAverage="0" bottom="0" percent="0" rank="0" text="" dxfId="7">
      <formula>$E4=1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38" activePane="bottomLeft" state="frozen"/>
      <selection pane="topLeft" activeCell="A1" activeCellId="0" sqref="A1"/>
      <selection pane="bottomLeft" activeCell="E70" activeCellId="0" sqref="E7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32.43"/>
    <col collapsed="false" customWidth="true" hidden="false" outlineLevel="0" max="4" min="3" style="0" width="20.57"/>
    <col collapsed="false" customWidth="true" hidden="false" outlineLevel="0" max="5" min="5" style="0" width="12.57"/>
    <col collapsed="false" customWidth="true" hidden="false" outlineLevel="0" max="6" min="6" style="0" width="6"/>
    <col collapsed="false" customWidth="true" hidden="false" outlineLevel="0" max="29" min="7" style="0" width="16.43"/>
  </cols>
  <sheetData>
    <row r="1" customFormat="false" ht="30" hidden="false" customHeight="true" outlineLevel="0" collapsed="false">
      <c r="A1" s="18" t="s">
        <v>30</v>
      </c>
      <c r="B1" s="19" t="s">
        <v>31</v>
      </c>
      <c r="C1" s="20" t="s">
        <v>32</v>
      </c>
      <c r="D1" s="20" t="s">
        <v>33</v>
      </c>
      <c r="E1" s="21" t="s">
        <v>34</v>
      </c>
      <c r="F1" s="22"/>
      <c r="G1" s="23" t="s">
        <v>3</v>
      </c>
      <c r="H1" s="24" t="s">
        <v>5</v>
      </c>
      <c r="I1" s="24" t="s">
        <v>6</v>
      </c>
      <c r="J1" s="24" t="s">
        <v>35</v>
      </c>
      <c r="K1" s="24" t="s">
        <v>7</v>
      </c>
      <c r="L1" s="24" t="s">
        <v>36</v>
      </c>
      <c r="M1" s="24" t="s">
        <v>8</v>
      </c>
      <c r="N1" s="24" t="s">
        <v>9</v>
      </c>
      <c r="O1" s="24" t="s">
        <v>18</v>
      </c>
      <c r="P1" s="24" t="s">
        <v>10</v>
      </c>
      <c r="Q1" s="24" t="s">
        <v>37</v>
      </c>
      <c r="R1" s="24" t="s">
        <v>11</v>
      </c>
      <c r="S1" s="24" t="s">
        <v>12</v>
      </c>
      <c r="T1" s="24" t="s">
        <v>13</v>
      </c>
      <c r="U1" s="24" t="s">
        <v>38</v>
      </c>
      <c r="V1" s="24" t="s">
        <v>14</v>
      </c>
      <c r="W1" s="24" t="s">
        <v>15</v>
      </c>
      <c r="X1" s="24" t="s">
        <v>16</v>
      </c>
      <c r="Y1" s="24" t="s">
        <v>17</v>
      </c>
      <c r="Z1" s="24" t="s">
        <v>19</v>
      </c>
      <c r="AA1" s="25" t="s">
        <v>39</v>
      </c>
      <c r="AB1" s="25" t="s">
        <v>40</v>
      </c>
      <c r="AC1" s="26" t="s">
        <v>41</v>
      </c>
    </row>
    <row r="2" customFormat="false" ht="15" hidden="false" customHeight="false" outlineLevel="0" collapsed="false">
      <c r="A2" s="27" t="n">
        <v>46184</v>
      </c>
      <c r="B2" s="28" t="s">
        <v>42</v>
      </c>
      <c r="C2" s="29" t="str">
        <f aca="false">TRIM(LEFT(B2,FIND(" x ",B2)-1))</f>
        <v>México</v>
      </c>
      <c r="D2" s="29" t="str">
        <f aca="false">TRIM(MID(B2,FIND(" x ",B2)+3,100))</f>
        <v>África do Sul</v>
      </c>
      <c r="E2" s="30" t="s">
        <v>43</v>
      </c>
      <c r="F2" s="22"/>
      <c r="G2" s="31" t="s">
        <v>44</v>
      </c>
      <c r="H2" s="32" t="s">
        <v>45</v>
      </c>
      <c r="I2" s="32" t="s">
        <v>44</v>
      </c>
      <c r="J2" s="32" t="s">
        <v>44</v>
      </c>
      <c r="K2" s="32" t="s">
        <v>44</v>
      </c>
      <c r="L2" s="32" t="s">
        <v>44</v>
      </c>
      <c r="M2" s="32" t="s">
        <v>44</v>
      </c>
      <c r="N2" s="32" t="s">
        <v>44</v>
      </c>
      <c r="O2" s="32" t="s">
        <v>44</v>
      </c>
      <c r="P2" s="32" t="s">
        <v>44</v>
      </c>
      <c r="Q2" s="32" t="s">
        <v>44</v>
      </c>
      <c r="R2" s="32" t="s">
        <v>46</v>
      </c>
      <c r="S2" s="32" t="s">
        <v>44</v>
      </c>
      <c r="T2" s="32" t="s">
        <v>44</v>
      </c>
      <c r="U2" s="33" t="s">
        <v>44</v>
      </c>
      <c r="V2" s="33" t="s">
        <v>44</v>
      </c>
      <c r="W2" s="33" t="s">
        <v>46</v>
      </c>
      <c r="X2" s="33" t="s">
        <v>45</v>
      </c>
      <c r="Y2" s="33" t="s">
        <v>44</v>
      </c>
      <c r="Z2" s="32" t="s">
        <v>44</v>
      </c>
      <c r="AA2" s="34" t="n">
        <f aca="false">IFERROR(VALUE(TRIM(LEFT($E2,SEARCH("x",$E2)-1))),"")</f>
        <v>2</v>
      </c>
      <c r="AB2" s="35" t="n">
        <f aca="false">IFERROR(VALUE(TRIM(MID($E2,SEARCH("x",$E2)+1,10))),"")</f>
        <v>0</v>
      </c>
      <c r="AC2" s="36" t="str">
        <f aca="false">IF(OR($AA2="",$AB2=""),"",IF($AA2&gt;$AB2,"A",IF($AA2&lt;$AB2,"B","E")))</f>
        <v>A</v>
      </c>
    </row>
    <row r="3" customFormat="false" ht="15.75" hidden="false" customHeight="true" outlineLevel="0" collapsed="false">
      <c r="A3" s="27"/>
      <c r="B3" s="37" t="s">
        <v>47</v>
      </c>
      <c r="C3" s="38" t="str">
        <f aca="false">TRIM(LEFT(B3,FIND(" x ",B3)-1))</f>
        <v>Coreia do Sul</v>
      </c>
      <c r="D3" s="38" t="str">
        <f aca="false">TRIM(MID(B3,FIND(" x ",B3)+3,100))</f>
        <v>Tchéquia</v>
      </c>
      <c r="E3" s="39" t="s">
        <v>48</v>
      </c>
      <c r="F3" s="22"/>
      <c r="G3" s="40" t="s">
        <v>46</v>
      </c>
      <c r="H3" s="41" t="s">
        <v>44</v>
      </c>
      <c r="I3" s="41" t="s">
        <v>44</v>
      </c>
      <c r="J3" s="41" t="s">
        <v>44</v>
      </c>
      <c r="K3" s="41" t="s">
        <v>44</v>
      </c>
      <c r="L3" s="41" t="s">
        <v>44</v>
      </c>
      <c r="M3" s="41" t="s">
        <v>44</v>
      </c>
      <c r="N3" s="41" t="s">
        <v>44</v>
      </c>
      <c r="O3" s="41" t="s">
        <v>45</v>
      </c>
      <c r="P3" s="41" t="s">
        <v>45</v>
      </c>
      <c r="Q3" s="41" t="s">
        <v>45</v>
      </c>
      <c r="R3" s="41" t="s">
        <v>44</v>
      </c>
      <c r="S3" s="41" t="s">
        <v>46</v>
      </c>
      <c r="T3" s="41" t="s">
        <v>45</v>
      </c>
      <c r="U3" s="42" t="s">
        <v>46</v>
      </c>
      <c r="V3" s="42" t="s">
        <v>44</v>
      </c>
      <c r="W3" s="42" t="s">
        <v>44</v>
      </c>
      <c r="X3" s="42" t="s">
        <v>44</v>
      </c>
      <c r="Y3" s="42" t="s">
        <v>44</v>
      </c>
      <c r="Z3" s="41" t="s">
        <v>45</v>
      </c>
      <c r="AA3" s="43" t="n">
        <f aca="false">IFERROR(VALUE(TRIM(LEFT($E3,SEARCH("x",$E3)-1))),"")</f>
        <v>2</v>
      </c>
      <c r="AB3" s="44" t="n">
        <f aca="false">IFERROR(VALUE(TRIM(MID($E3,SEARCH("x",$E3)+1,10))),"")</f>
        <v>1</v>
      </c>
      <c r="AC3" s="45" t="str">
        <f aca="false">IF(OR($AA3="",$AB3=""),"",IF($AA3&gt;$AB3,"A",IF($AA3&lt;$AB3,"B","E")))</f>
        <v>A</v>
      </c>
    </row>
    <row r="4" customFormat="false" ht="15.75" hidden="false" customHeight="true" outlineLevel="0" collapsed="false">
      <c r="A4" s="46" t="n">
        <v>46185</v>
      </c>
      <c r="B4" s="47" t="s">
        <v>49</v>
      </c>
      <c r="C4" s="48" t="str">
        <f aca="false">TRIM(LEFT(B4,FIND(" x ",B4)-1))</f>
        <v>Canadá</v>
      </c>
      <c r="D4" s="48" t="str">
        <f aca="false">TRIM(MID(B4,FIND(" x ",B4)+3,100))</f>
        <v>Bósnia e Herzeg.</v>
      </c>
      <c r="E4" s="49" t="s">
        <v>50</v>
      </c>
      <c r="F4" s="22"/>
      <c r="G4" s="50" t="s">
        <v>44</v>
      </c>
      <c r="H4" s="51" t="s">
        <v>46</v>
      </c>
      <c r="I4" s="51" t="s">
        <v>45</v>
      </c>
      <c r="J4" s="51" t="s">
        <v>46</v>
      </c>
      <c r="K4" s="51" t="s">
        <v>44</v>
      </c>
      <c r="L4" s="51" t="s">
        <v>44</v>
      </c>
      <c r="M4" s="51" t="s">
        <v>44</v>
      </c>
      <c r="N4" s="51" t="s">
        <v>44</v>
      </c>
      <c r="O4" s="51" t="s">
        <v>44</v>
      </c>
      <c r="P4" s="51" t="s">
        <v>44</v>
      </c>
      <c r="Q4" s="51" t="s">
        <v>44</v>
      </c>
      <c r="R4" s="51" t="s">
        <v>44</v>
      </c>
      <c r="S4" s="51" t="s">
        <v>44</v>
      </c>
      <c r="T4" s="51" t="s">
        <v>45</v>
      </c>
      <c r="U4" s="52" t="s">
        <v>44</v>
      </c>
      <c r="V4" s="52" t="s">
        <v>44</v>
      </c>
      <c r="W4" s="52" t="s">
        <v>44</v>
      </c>
      <c r="X4" s="52" t="s">
        <v>44</v>
      </c>
      <c r="Y4" s="52" t="s">
        <v>45</v>
      </c>
      <c r="Z4" s="51" t="s">
        <v>45</v>
      </c>
      <c r="AA4" s="43" t="n">
        <f aca="false">IFERROR(VALUE(TRIM(LEFT($E4,SEARCH("x",$E4)-1))),"")</f>
        <v>1</v>
      </c>
      <c r="AB4" s="44" t="n">
        <f aca="false">IFERROR(VALUE(TRIM(MID($E4,SEARCH("x",$E4)+1,10))),"")</f>
        <v>1</v>
      </c>
      <c r="AC4" s="45" t="str">
        <f aca="false">IF(OR($AA4="",$AB4=""),"",IF($AA4&gt;$AB4,"A",IF($AA4&lt;$AB4,"B","E")))</f>
        <v>E</v>
      </c>
      <c r="AD4" s="53"/>
    </row>
    <row r="5" customFormat="false" ht="15.75" hidden="false" customHeight="true" outlineLevel="0" collapsed="false">
      <c r="A5" s="46"/>
      <c r="B5" s="54" t="s">
        <v>51</v>
      </c>
      <c r="C5" s="55" t="str">
        <f aca="false">TRIM(LEFT(B5,FIND(" x ",B5)-1))</f>
        <v>Estados Unidos</v>
      </c>
      <c r="D5" s="55" t="str">
        <f aca="false">TRIM(MID(B5,FIND(" x ",B5)+3,100))</f>
        <v>Paraguai</v>
      </c>
      <c r="E5" s="49" t="s">
        <v>52</v>
      </c>
      <c r="F5" s="22"/>
      <c r="G5" s="40" t="s">
        <v>45</v>
      </c>
      <c r="H5" s="41" t="s">
        <v>45</v>
      </c>
      <c r="I5" s="41" t="s">
        <v>45</v>
      </c>
      <c r="J5" s="41" t="s">
        <v>44</v>
      </c>
      <c r="K5" s="41" t="s">
        <v>46</v>
      </c>
      <c r="L5" s="41" t="s">
        <v>44</v>
      </c>
      <c r="M5" s="41" t="s">
        <v>45</v>
      </c>
      <c r="N5" s="41" t="s">
        <v>44</v>
      </c>
      <c r="O5" s="41" t="s">
        <v>45</v>
      </c>
      <c r="P5" s="41" t="s">
        <v>44</v>
      </c>
      <c r="Q5" s="41" t="s">
        <v>46</v>
      </c>
      <c r="R5" s="41" t="s">
        <v>45</v>
      </c>
      <c r="S5" s="41" t="s">
        <v>45</v>
      </c>
      <c r="T5" s="41" t="s">
        <v>46</v>
      </c>
      <c r="U5" s="42" t="s">
        <v>44</v>
      </c>
      <c r="V5" s="42" t="s">
        <v>45</v>
      </c>
      <c r="W5" s="42" t="s">
        <v>44</v>
      </c>
      <c r="X5" s="42" t="s">
        <v>45</v>
      </c>
      <c r="Y5" s="42" t="s">
        <v>45</v>
      </c>
      <c r="Z5" s="41" t="s">
        <v>44</v>
      </c>
      <c r="AA5" s="43" t="n">
        <f aca="false">IFERROR(VALUE(TRIM(LEFT($E5,SEARCH("x",$E5)-1))),"")</f>
        <v>4</v>
      </c>
      <c r="AB5" s="44" t="n">
        <f aca="false">IFERROR(VALUE(TRIM(MID($E5,SEARCH("x",$E5)+1,10))),"")</f>
        <v>1</v>
      </c>
      <c r="AC5" s="45" t="str">
        <f aca="false">IF(OR($AA5="",$AB5=""),"",IF($AA5&gt;$AB5,"A",IF($AA5&lt;$AB5,"B","E")))</f>
        <v>A</v>
      </c>
      <c r="AD5" s="53"/>
    </row>
    <row r="6" customFormat="false" ht="15.75" hidden="false" customHeight="true" outlineLevel="0" collapsed="false">
      <c r="A6" s="56" t="n">
        <v>46186</v>
      </c>
      <c r="B6" s="57" t="s">
        <v>53</v>
      </c>
      <c r="C6" s="58" t="str">
        <f aca="false">TRIM(LEFT(B6,FIND(" x ",B6)-1))</f>
        <v>Catar</v>
      </c>
      <c r="D6" s="58" t="str">
        <f aca="false">TRIM(MID(B6,FIND(" x ",B6)+3,100))</f>
        <v>Suíça</v>
      </c>
      <c r="E6" s="30" t="s">
        <v>50</v>
      </c>
      <c r="F6" s="22"/>
      <c r="G6" s="59" t="s">
        <v>45</v>
      </c>
      <c r="H6" s="60" t="s">
        <v>45</v>
      </c>
      <c r="I6" s="60" t="s">
        <v>45</v>
      </c>
      <c r="J6" s="60" t="s">
        <v>45</v>
      </c>
      <c r="K6" s="60" t="s">
        <v>45</v>
      </c>
      <c r="L6" s="60" t="s">
        <v>45</v>
      </c>
      <c r="M6" s="60" t="s">
        <v>45</v>
      </c>
      <c r="N6" s="60" t="s">
        <v>45</v>
      </c>
      <c r="O6" s="60" t="s">
        <v>45</v>
      </c>
      <c r="P6" s="60" t="s">
        <v>45</v>
      </c>
      <c r="Q6" s="60" t="s">
        <v>44</v>
      </c>
      <c r="R6" s="60" t="s">
        <v>45</v>
      </c>
      <c r="S6" s="60" t="s">
        <v>45</v>
      </c>
      <c r="T6" s="60" t="s">
        <v>45</v>
      </c>
      <c r="U6" s="61" t="s">
        <v>45</v>
      </c>
      <c r="V6" s="61" t="s">
        <v>45</v>
      </c>
      <c r="W6" s="61" t="s">
        <v>45</v>
      </c>
      <c r="X6" s="61" t="s">
        <v>45</v>
      </c>
      <c r="Y6" s="61" t="s">
        <v>45</v>
      </c>
      <c r="Z6" s="60" t="s">
        <v>45</v>
      </c>
      <c r="AA6" s="43" t="n">
        <f aca="false">IFERROR(VALUE(TRIM(LEFT($E6,SEARCH("x",$E6)-1))),"")</f>
        <v>1</v>
      </c>
      <c r="AB6" s="44" t="n">
        <f aca="false">IFERROR(VALUE(TRIM(MID($E6,SEARCH("x",$E6)+1,10))),"")</f>
        <v>1</v>
      </c>
      <c r="AC6" s="45" t="str">
        <f aca="false">IF(OR($AA6="",$AB6=""),"",IF($AA6&gt;$AB6,"A",IF($AA6&lt;$AB6,"B","E")))</f>
        <v>E</v>
      </c>
      <c r="AD6" s="53"/>
    </row>
    <row r="7" customFormat="false" ht="15.75" hidden="false" customHeight="true" outlineLevel="0" collapsed="false">
      <c r="A7" s="56"/>
      <c r="B7" s="62" t="s">
        <v>54</v>
      </c>
      <c r="C7" s="63" t="str">
        <f aca="false">TRIM(LEFT(B7,FIND(" x ",B7)-1))</f>
        <v>Brasil</v>
      </c>
      <c r="D7" s="63" t="str">
        <f aca="false">TRIM(MID(B7,FIND(" x ",B7)+3,100))</f>
        <v>Marrocos</v>
      </c>
      <c r="E7" s="64" t="s">
        <v>50</v>
      </c>
      <c r="F7" s="22"/>
      <c r="G7" s="65" t="s">
        <v>44</v>
      </c>
      <c r="H7" s="66" t="s">
        <v>44</v>
      </c>
      <c r="I7" s="66" t="s">
        <v>44</v>
      </c>
      <c r="J7" s="66" t="s">
        <v>45</v>
      </c>
      <c r="K7" s="66" t="s">
        <v>44</v>
      </c>
      <c r="L7" s="66" t="s">
        <v>44</v>
      </c>
      <c r="M7" s="66" t="s">
        <v>44</v>
      </c>
      <c r="N7" s="66" t="s">
        <v>46</v>
      </c>
      <c r="O7" s="66" t="s">
        <v>46</v>
      </c>
      <c r="P7" s="66" t="s">
        <v>44</v>
      </c>
      <c r="Q7" s="66" t="s">
        <v>44</v>
      </c>
      <c r="R7" s="66" t="s">
        <v>44</v>
      </c>
      <c r="S7" s="66" t="s">
        <v>44</v>
      </c>
      <c r="T7" s="66" t="s">
        <v>44</v>
      </c>
      <c r="U7" s="66" t="s">
        <v>44</v>
      </c>
      <c r="V7" s="66" t="s">
        <v>44</v>
      </c>
      <c r="W7" s="66" t="s">
        <v>44</v>
      </c>
      <c r="X7" s="66" t="s">
        <v>44</v>
      </c>
      <c r="Y7" s="66" t="s">
        <v>44</v>
      </c>
      <c r="Z7" s="66" t="s">
        <v>44</v>
      </c>
      <c r="AA7" s="43" t="n">
        <f aca="false">IFERROR(VALUE(TRIM(LEFT($E7,SEARCH("x",$E7)-1))),"")</f>
        <v>1</v>
      </c>
      <c r="AB7" s="44" t="n">
        <f aca="false">IFERROR(VALUE(TRIM(MID($E7,SEARCH("x",$E7)+1,10))),"")</f>
        <v>1</v>
      </c>
      <c r="AC7" s="45" t="str">
        <f aca="false">IF(OR($AA7="",$AB7=""),"",IF($AA7&gt;$AB7,"A",IF($AA7&lt;$AB7,"B","E")))</f>
        <v>E</v>
      </c>
      <c r="AD7" s="53"/>
    </row>
    <row r="8" customFormat="false" ht="15.75" hidden="false" customHeight="true" outlineLevel="0" collapsed="false">
      <c r="A8" s="56"/>
      <c r="B8" s="67" t="s">
        <v>55</v>
      </c>
      <c r="C8" s="68" t="str">
        <f aca="false">TRIM(LEFT(B8,FIND(" x ",B8)-1))</f>
        <v>Haiti</v>
      </c>
      <c r="D8" s="68" t="str">
        <f aca="false">TRIM(MID(B8,FIND(" x ",B8)+3,100))</f>
        <v>Escócia</v>
      </c>
      <c r="E8" s="69" t="s">
        <v>56</v>
      </c>
      <c r="F8" s="22"/>
      <c r="G8" s="70" t="s">
        <v>44</v>
      </c>
      <c r="H8" s="71" t="s">
        <v>44</v>
      </c>
      <c r="I8" s="71" t="s">
        <v>45</v>
      </c>
      <c r="J8" s="71" t="s">
        <v>45</v>
      </c>
      <c r="K8" s="71" t="s">
        <v>45</v>
      </c>
      <c r="L8" s="71" t="s">
        <v>45</v>
      </c>
      <c r="M8" s="71" t="s">
        <v>45</v>
      </c>
      <c r="N8" s="71" t="s">
        <v>45</v>
      </c>
      <c r="O8" s="71" t="s">
        <v>45</v>
      </c>
      <c r="P8" s="71" t="s">
        <v>45</v>
      </c>
      <c r="Q8" s="71" t="s">
        <v>45</v>
      </c>
      <c r="R8" s="71" t="s">
        <v>45</v>
      </c>
      <c r="S8" s="71" t="s">
        <v>45</v>
      </c>
      <c r="T8" s="71" t="s">
        <v>45</v>
      </c>
      <c r="U8" s="72" t="s">
        <v>45</v>
      </c>
      <c r="V8" s="72" t="s">
        <v>45</v>
      </c>
      <c r="W8" s="72" t="s">
        <v>45</v>
      </c>
      <c r="X8" s="72" t="s">
        <v>44</v>
      </c>
      <c r="Y8" s="72" t="s">
        <v>45</v>
      </c>
      <c r="Z8" s="71" t="s">
        <v>45</v>
      </c>
      <c r="AA8" s="43" t="n">
        <f aca="false">IFERROR(VALUE(TRIM(LEFT($E8,SEARCH("x",$E8)-1))),"")</f>
        <v>0</v>
      </c>
      <c r="AB8" s="44" t="n">
        <f aca="false">IFERROR(VALUE(TRIM(MID($E8,SEARCH("x",$E8)+1,10))),"")</f>
        <v>1</v>
      </c>
      <c r="AC8" s="45" t="str">
        <f aca="false">IF(OR($AA8="",$AB8=""),"",IF($AA8&gt;$AB8,"A",IF($AA8&lt;$AB8,"B","E")))</f>
        <v>B</v>
      </c>
      <c r="AD8" s="53"/>
    </row>
    <row r="9" customFormat="false" ht="15.75" hidden="false" customHeight="true" outlineLevel="0" collapsed="false">
      <c r="A9" s="56"/>
      <c r="B9" s="73" t="s">
        <v>57</v>
      </c>
      <c r="C9" s="74" t="str">
        <f aca="false">TRIM(LEFT(B9,FIND(" x ",B9)-1))</f>
        <v>Austrália</v>
      </c>
      <c r="D9" s="74" t="str">
        <f aca="false">TRIM(MID(B9,FIND(" x ",B9)+3,100))</f>
        <v>Turquia</v>
      </c>
      <c r="E9" s="75" t="s">
        <v>43</v>
      </c>
      <c r="F9" s="22"/>
      <c r="G9" s="40" t="s">
        <v>44</v>
      </c>
      <c r="H9" s="41" t="s">
        <v>45</v>
      </c>
      <c r="I9" s="41" t="s">
        <v>45</v>
      </c>
      <c r="J9" s="41" t="s">
        <v>45</v>
      </c>
      <c r="K9" s="41" t="s">
        <v>45</v>
      </c>
      <c r="L9" s="41" t="s">
        <v>45</v>
      </c>
      <c r="M9" s="41" t="s">
        <v>45</v>
      </c>
      <c r="N9" s="41" t="s">
        <v>45</v>
      </c>
      <c r="O9" s="41" t="s">
        <v>45</v>
      </c>
      <c r="P9" s="41" t="s">
        <v>45</v>
      </c>
      <c r="Q9" s="41" t="s">
        <v>44</v>
      </c>
      <c r="R9" s="41" t="s">
        <v>44</v>
      </c>
      <c r="S9" s="41" t="s">
        <v>45</v>
      </c>
      <c r="T9" s="41" t="s">
        <v>45</v>
      </c>
      <c r="U9" s="42" t="s">
        <v>45</v>
      </c>
      <c r="V9" s="42" t="s">
        <v>45</v>
      </c>
      <c r="W9" s="42" t="s">
        <v>45</v>
      </c>
      <c r="X9" s="42" t="s">
        <v>44</v>
      </c>
      <c r="Y9" s="42" t="s">
        <v>45</v>
      </c>
      <c r="Z9" s="41" t="s">
        <v>45</v>
      </c>
      <c r="AA9" s="43" t="n">
        <f aca="false">IFERROR(VALUE(TRIM(LEFT($E9,SEARCH("x",$E9)-1))),"")</f>
        <v>2</v>
      </c>
      <c r="AB9" s="44" t="n">
        <f aca="false">IFERROR(VALUE(TRIM(MID($E9,SEARCH("x",$E9)+1,10))),"")</f>
        <v>0</v>
      </c>
      <c r="AC9" s="45" t="str">
        <f aca="false">IF(OR($AA9="",$AB9=""),"",IF($AA9&gt;$AB9,"A",IF($AA9&lt;$AB9,"B","E")))</f>
        <v>A</v>
      </c>
      <c r="AD9" s="53"/>
    </row>
    <row r="10" customFormat="false" ht="15.75" hidden="false" customHeight="true" outlineLevel="0" collapsed="false">
      <c r="A10" s="76" t="n">
        <v>46187</v>
      </c>
      <c r="B10" s="47" t="s">
        <v>58</v>
      </c>
      <c r="C10" s="48" t="str">
        <f aca="false">TRIM(LEFT(B10,FIND(" x ",B10)-1))</f>
        <v>Alemanha</v>
      </c>
      <c r="D10" s="48" t="str">
        <f aca="false">TRIM(MID(B10,FIND(" x ",B10)+3,100))</f>
        <v>Curaçao</v>
      </c>
      <c r="E10" s="49" t="s">
        <v>59</v>
      </c>
      <c r="F10" s="22"/>
      <c r="G10" s="59" t="s">
        <v>44</v>
      </c>
      <c r="H10" s="60" t="s">
        <v>44</v>
      </c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1" t="s">
        <v>44</v>
      </c>
      <c r="V10" s="61" t="s">
        <v>44</v>
      </c>
      <c r="W10" s="61" t="s">
        <v>44</v>
      </c>
      <c r="X10" s="61"/>
      <c r="Y10" s="61" t="s">
        <v>44</v>
      </c>
      <c r="Z10" s="60" t="s">
        <v>44</v>
      </c>
      <c r="AA10" s="43" t="n">
        <f aca="false">IFERROR(VALUE(TRIM(LEFT($E10,SEARCH("x",$E10)-1))),"")</f>
        <v>7</v>
      </c>
      <c r="AB10" s="44" t="n">
        <f aca="false">IFERROR(VALUE(TRIM(MID($E10,SEARCH("x",$E10)+1,10))),"")</f>
        <v>1</v>
      </c>
      <c r="AC10" s="45" t="str">
        <f aca="false">IF(OR($AA10="",$AB10=""),"",IF($AA10&gt;$AB10,"A",IF($AA10&lt;$AB10,"B","E")))</f>
        <v>A</v>
      </c>
      <c r="AD10" s="53"/>
    </row>
    <row r="11" customFormat="false" ht="15.75" hidden="false" customHeight="true" outlineLevel="0" collapsed="false">
      <c r="A11" s="76"/>
      <c r="B11" s="77" t="s">
        <v>60</v>
      </c>
      <c r="C11" s="78" t="str">
        <f aca="false">TRIM(LEFT(B11,FIND(" x ",B11)-1))</f>
        <v>Costa do Marfim</v>
      </c>
      <c r="D11" s="78" t="str">
        <f aca="false">TRIM(MID(B11,FIND(" x ",B11)+3,100))</f>
        <v>Equador</v>
      </c>
      <c r="E11" s="79" t="s">
        <v>61</v>
      </c>
      <c r="F11" s="22"/>
      <c r="G11" s="65" t="s">
        <v>44</v>
      </c>
      <c r="H11" s="80" t="s">
        <v>46</v>
      </c>
      <c r="I11" s="80" t="s">
        <v>44</v>
      </c>
      <c r="J11" s="80" t="s">
        <v>46</v>
      </c>
      <c r="K11" s="80" t="s">
        <v>46</v>
      </c>
      <c r="L11" s="80" t="s">
        <v>45</v>
      </c>
      <c r="M11" s="80" t="s">
        <v>46</v>
      </c>
      <c r="N11" s="80" t="s">
        <v>45</v>
      </c>
      <c r="O11" s="80" t="s">
        <v>45</v>
      </c>
      <c r="P11" s="80" t="s">
        <v>44</v>
      </c>
      <c r="Q11" s="80" t="s">
        <v>44</v>
      </c>
      <c r="R11" s="80" t="s">
        <v>46</v>
      </c>
      <c r="S11" s="80" t="s">
        <v>45</v>
      </c>
      <c r="T11" s="80" t="s">
        <v>45</v>
      </c>
      <c r="U11" s="81" t="s">
        <v>44</v>
      </c>
      <c r="V11" s="81" t="s">
        <v>46</v>
      </c>
      <c r="W11" s="81" t="s">
        <v>45</v>
      </c>
      <c r="X11" s="81" t="s">
        <v>45</v>
      </c>
      <c r="Y11" s="81" t="s">
        <v>44</v>
      </c>
      <c r="Z11" s="80" t="s">
        <v>45</v>
      </c>
      <c r="AA11" s="43" t="n">
        <f aca="false">IFERROR(VALUE(TRIM(LEFT($E11,SEARCH("x",$E11)-1))),"")</f>
        <v>1</v>
      </c>
      <c r="AB11" s="44" t="n">
        <f aca="false">IFERROR(VALUE(TRIM(MID($E11,SEARCH("x",$E11)+1,10))),"")</f>
        <v>0</v>
      </c>
      <c r="AC11" s="45" t="str">
        <f aca="false">IF(OR($AA11="",$AB11=""),"",IF($AA11&gt;$AB11,"A",IF($AA11&lt;$AB11,"B","E")))</f>
        <v>A</v>
      </c>
      <c r="AD11" s="53"/>
    </row>
    <row r="12" customFormat="false" ht="15.75" hidden="false" customHeight="true" outlineLevel="0" collapsed="false">
      <c r="A12" s="76"/>
      <c r="B12" s="82" t="s">
        <v>62</v>
      </c>
      <c r="C12" s="83" t="str">
        <f aca="false">TRIM(LEFT(B12,FIND(" x ",B12)-1))</f>
        <v>Países Baixos</v>
      </c>
      <c r="D12" s="83" t="str">
        <f aca="false">TRIM(MID(B12,FIND(" x ",B12)+3,100))</f>
        <v>Japão</v>
      </c>
      <c r="E12" s="84" t="s">
        <v>63</v>
      </c>
      <c r="F12" s="22"/>
      <c r="G12" s="70" t="s">
        <v>44</v>
      </c>
      <c r="H12" s="71" t="s">
        <v>45</v>
      </c>
      <c r="I12" s="71" t="s">
        <v>46</v>
      </c>
      <c r="J12" s="71" t="s">
        <v>44</v>
      </c>
      <c r="K12" s="71" t="s">
        <v>45</v>
      </c>
      <c r="L12" s="71" t="s">
        <v>44</v>
      </c>
      <c r="M12" s="71" t="s">
        <v>44</v>
      </c>
      <c r="N12" s="71" t="s">
        <v>44</v>
      </c>
      <c r="O12" s="71" t="s">
        <v>44</v>
      </c>
      <c r="P12" s="71" t="s">
        <v>45</v>
      </c>
      <c r="Q12" s="71" t="s">
        <v>45</v>
      </c>
      <c r="R12" s="71" t="s">
        <v>44</v>
      </c>
      <c r="S12" s="71" t="s">
        <v>44</v>
      </c>
      <c r="T12" s="71" t="s">
        <v>46</v>
      </c>
      <c r="U12" s="72" t="s">
        <v>45</v>
      </c>
      <c r="V12" s="72" t="s">
        <v>45</v>
      </c>
      <c r="W12" s="72" t="s">
        <v>46</v>
      </c>
      <c r="X12" s="72" t="s">
        <v>44</v>
      </c>
      <c r="Y12" s="72" t="s">
        <v>44</v>
      </c>
      <c r="Z12" s="71" t="s">
        <v>44</v>
      </c>
      <c r="AA12" s="43" t="n">
        <f aca="false">IFERROR(VALUE(TRIM(LEFT($E12,SEARCH("x",$E12)-1))),"")</f>
        <v>2</v>
      </c>
      <c r="AB12" s="44" t="n">
        <f aca="false">IFERROR(VALUE(TRIM(MID($E12,SEARCH("x",$E12)+1,10))),"")</f>
        <v>2</v>
      </c>
      <c r="AC12" s="45" t="str">
        <f aca="false">IF(OR($AA12="",$AB12=""),"",IF($AA12&gt;$AB12,"A",IF($AA12&lt;$AB12,"B","E")))</f>
        <v>E</v>
      </c>
      <c r="AD12" s="53"/>
    </row>
    <row r="13" customFormat="false" ht="15.75" hidden="false" customHeight="true" outlineLevel="0" collapsed="false">
      <c r="A13" s="76"/>
      <c r="B13" s="85" t="s">
        <v>64</v>
      </c>
      <c r="C13" s="86" t="str">
        <f aca="false">TRIM(LEFT(B13,FIND(" x ",B13)-1))</f>
        <v>Suécia</v>
      </c>
      <c r="D13" s="86" t="str">
        <f aca="false">TRIM(MID(B13,FIND(" x ",B13)+3,100))</f>
        <v>Tunísia</v>
      </c>
      <c r="E13" s="87" t="s">
        <v>65</v>
      </c>
      <c r="F13" s="22"/>
      <c r="G13" s="40" t="s">
        <v>46</v>
      </c>
      <c r="H13" s="41" t="s">
        <v>44</v>
      </c>
      <c r="I13" s="41" t="s">
        <v>44</v>
      </c>
      <c r="J13" s="41" t="s">
        <v>44</v>
      </c>
      <c r="K13" s="41" t="s">
        <v>44</v>
      </c>
      <c r="L13" s="41" t="s">
        <v>45</v>
      </c>
      <c r="M13" s="41" t="s">
        <v>44</v>
      </c>
      <c r="N13" s="41" t="s">
        <v>44</v>
      </c>
      <c r="O13" s="41" t="s">
        <v>46</v>
      </c>
      <c r="P13" s="41" t="s">
        <v>44</v>
      </c>
      <c r="Q13" s="41" t="s">
        <v>45</v>
      </c>
      <c r="R13" s="41" t="s">
        <v>46</v>
      </c>
      <c r="S13" s="41" t="s">
        <v>44</v>
      </c>
      <c r="T13" s="41" t="s">
        <v>44</v>
      </c>
      <c r="U13" s="42" t="s">
        <v>44</v>
      </c>
      <c r="V13" s="42" t="s">
        <v>46</v>
      </c>
      <c r="W13" s="42" t="s">
        <v>44</v>
      </c>
      <c r="X13" s="42" t="s">
        <v>44</v>
      </c>
      <c r="Y13" s="42" t="s">
        <v>44</v>
      </c>
      <c r="Z13" s="41" t="s">
        <v>44</v>
      </c>
      <c r="AA13" s="43" t="n">
        <f aca="false">IFERROR(VALUE(TRIM(LEFT($E13,SEARCH("x",$E13)-1))),"")</f>
        <v>5</v>
      </c>
      <c r="AB13" s="44" t="n">
        <f aca="false">IFERROR(VALUE(TRIM(MID($E13,SEARCH("x",$E13)+1,10))),"")</f>
        <v>1</v>
      </c>
      <c r="AC13" s="45" t="str">
        <f aca="false">IF(OR($AA13="",$AB13=""),"",IF($AA13&gt;$AB13,"A",IF($AA13&lt;$AB13,"B","E")))</f>
        <v>A</v>
      </c>
      <c r="AD13" s="53"/>
    </row>
    <row r="14" customFormat="false" ht="15.75" hidden="false" customHeight="true" outlineLevel="0" collapsed="false">
      <c r="A14" s="56" t="n">
        <v>46188</v>
      </c>
      <c r="B14" s="57" t="s">
        <v>66</v>
      </c>
      <c r="C14" s="58" t="str">
        <f aca="false">TRIM(LEFT(B14,FIND(" x ",B14)-1))</f>
        <v>Bélgica</v>
      </c>
      <c r="D14" s="58" t="str">
        <f aca="false">TRIM(MID(B14,FIND(" x ",B14)+3,100))</f>
        <v>Egito</v>
      </c>
      <c r="E14" s="30" t="s">
        <v>50</v>
      </c>
      <c r="F14" s="22"/>
      <c r="G14" s="59" t="s">
        <v>44</v>
      </c>
      <c r="H14" s="88" t="s">
        <v>44</v>
      </c>
      <c r="I14" s="88" t="s">
        <v>44</v>
      </c>
      <c r="J14" s="60" t="s">
        <v>46</v>
      </c>
      <c r="K14" s="60" t="s">
        <v>44</v>
      </c>
      <c r="L14" s="60" t="s">
        <v>44</v>
      </c>
      <c r="M14" s="60" t="s">
        <v>44</v>
      </c>
      <c r="N14" s="60" t="s">
        <v>44</v>
      </c>
      <c r="O14" s="60" t="s">
        <v>44</v>
      </c>
      <c r="P14" s="60" t="s">
        <v>44</v>
      </c>
      <c r="Q14" s="60" t="s">
        <v>44</v>
      </c>
      <c r="R14" s="60" t="s">
        <v>44</v>
      </c>
      <c r="S14" s="60" t="s">
        <v>44</v>
      </c>
      <c r="T14" s="60" t="s">
        <v>44</v>
      </c>
      <c r="U14" s="60" t="s">
        <v>44</v>
      </c>
      <c r="V14" s="60" t="s">
        <v>44</v>
      </c>
      <c r="W14" s="60" t="s">
        <v>44</v>
      </c>
      <c r="X14" s="60" t="s">
        <v>44</v>
      </c>
      <c r="Y14" s="60" t="s">
        <v>44</v>
      </c>
      <c r="Z14" s="60" t="s">
        <v>44</v>
      </c>
      <c r="AA14" s="43" t="n">
        <f aca="false">IFERROR(VALUE(TRIM(LEFT($E14,SEARCH("x",$E14)-1))),"")</f>
        <v>1</v>
      </c>
      <c r="AB14" s="44" t="n">
        <f aca="false">IFERROR(VALUE(TRIM(MID($E14,SEARCH("x",$E14)+1,10))),"")</f>
        <v>1</v>
      </c>
      <c r="AC14" s="45" t="str">
        <f aca="false">IF(OR($AA14="",$AB14=""),"",IF($AA14&gt;$AB14,"A",IF($AA14&lt;$AB14,"B","E")))</f>
        <v>E</v>
      </c>
      <c r="AD14" s="53"/>
    </row>
    <row r="15" customFormat="false" ht="15.75" hidden="false" customHeight="true" outlineLevel="0" collapsed="false">
      <c r="A15" s="56"/>
      <c r="B15" s="62" t="s">
        <v>67</v>
      </c>
      <c r="C15" s="63" t="str">
        <f aca="false">TRIM(LEFT(B15,FIND(" x ",B15)-1))</f>
        <v>Irã</v>
      </c>
      <c r="D15" s="63" t="str">
        <f aca="false">TRIM(MID(B15,FIND(" x ",B15)+3,100))</f>
        <v>Nova Zelândia</v>
      </c>
      <c r="E15" s="64" t="s">
        <v>63</v>
      </c>
      <c r="F15" s="22"/>
      <c r="G15" s="65" t="s">
        <v>46</v>
      </c>
      <c r="H15" s="80" t="s">
        <v>46</v>
      </c>
      <c r="I15" s="80" t="s">
        <v>44</v>
      </c>
      <c r="J15" s="80" t="s">
        <v>44</v>
      </c>
      <c r="K15" s="80" t="s">
        <v>46</v>
      </c>
      <c r="L15" s="80" t="s">
        <v>46</v>
      </c>
      <c r="M15" s="80" t="s">
        <v>44</v>
      </c>
      <c r="N15" s="80" t="s">
        <v>44</v>
      </c>
      <c r="O15" s="80" t="s">
        <v>44</v>
      </c>
      <c r="P15" s="80" t="s">
        <v>46</v>
      </c>
      <c r="Q15" s="80" t="s">
        <v>44</v>
      </c>
      <c r="R15" s="80" t="s">
        <v>46</v>
      </c>
      <c r="S15" s="80" t="s">
        <v>45</v>
      </c>
      <c r="T15" s="81" t="s">
        <v>44</v>
      </c>
      <c r="U15" s="81" t="s">
        <v>44</v>
      </c>
      <c r="V15" s="81" t="s">
        <v>44</v>
      </c>
      <c r="W15" s="81" t="s">
        <v>44</v>
      </c>
      <c r="X15" s="81" t="s">
        <v>44</v>
      </c>
      <c r="Y15" s="81" t="s">
        <v>45</v>
      </c>
      <c r="Z15" s="80" t="s">
        <v>44</v>
      </c>
      <c r="AA15" s="43" t="n">
        <f aca="false">IFERROR(VALUE(TRIM(LEFT($E15,SEARCH("x",$E15)-1))),"")</f>
        <v>2</v>
      </c>
      <c r="AB15" s="44" t="n">
        <f aca="false">IFERROR(VALUE(TRIM(MID($E15,SEARCH("x",$E15)+1,10))),"")</f>
        <v>2</v>
      </c>
      <c r="AC15" s="45" t="str">
        <f aca="false">IF(OR($AA15="",$AB15=""),"",IF($AA15&gt;$AB15,"A",IF($AA15&lt;$AB15,"B","E")))</f>
        <v>E</v>
      </c>
      <c r="AD15" s="53"/>
    </row>
    <row r="16" customFormat="false" ht="15.75" hidden="false" customHeight="true" outlineLevel="0" collapsed="false">
      <c r="A16" s="56"/>
      <c r="B16" s="67" t="s">
        <v>68</v>
      </c>
      <c r="C16" s="68" t="str">
        <f aca="false">TRIM(LEFT(B16,FIND(" x ",B16)-1))</f>
        <v>Espanha</v>
      </c>
      <c r="D16" s="68" t="str">
        <f aca="false">TRIM(MID(B16,FIND(" x ",B16)+3,100))</f>
        <v>Cabo Verde</v>
      </c>
      <c r="E16" s="69" t="s">
        <v>69</v>
      </c>
      <c r="F16" s="22"/>
      <c r="G16" s="70" t="s">
        <v>44</v>
      </c>
      <c r="H16" s="89" t="s">
        <v>44</v>
      </c>
      <c r="I16" s="89" t="s">
        <v>44</v>
      </c>
      <c r="J16" s="89" t="s">
        <v>44</v>
      </c>
      <c r="K16" s="89" t="s">
        <v>44</v>
      </c>
      <c r="L16" s="89" t="s">
        <v>44</v>
      </c>
      <c r="M16" s="89" t="s">
        <v>44</v>
      </c>
      <c r="N16" s="89" t="s">
        <v>44</v>
      </c>
      <c r="O16" s="89" t="s">
        <v>44</v>
      </c>
      <c r="P16" s="89" t="s">
        <v>44</v>
      </c>
      <c r="Q16" s="89" t="s">
        <v>44</v>
      </c>
      <c r="R16" s="89" t="s">
        <v>44</v>
      </c>
      <c r="S16" s="89" t="s">
        <v>44</v>
      </c>
      <c r="T16" s="89" t="s">
        <v>44</v>
      </c>
      <c r="U16" s="89" t="s">
        <v>44</v>
      </c>
      <c r="V16" s="89" t="s">
        <v>44</v>
      </c>
      <c r="W16" s="89" t="s">
        <v>44</v>
      </c>
      <c r="X16" s="89" t="s">
        <v>44</v>
      </c>
      <c r="Y16" s="89" t="s">
        <v>44</v>
      </c>
      <c r="Z16" s="90" t="s">
        <v>44</v>
      </c>
      <c r="AA16" s="43" t="n">
        <f aca="false">IFERROR(VALUE(TRIM(LEFT($E16,SEARCH("x",$E16)-1))),"")</f>
        <v>0</v>
      </c>
      <c r="AB16" s="44" t="n">
        <f aca="false">IFERROR(VALUE(TRIM(MID($E16,SEARCH("x",$E16)+1,10))),"")</f>
        <v>0</v>
      </c>
      <c r="AC16" s="45" t="str">
        <f aca="false">IF(OR($AA16="",$AB16=""),"",IF($AA16&gt;$AB16,"A",IF($AA16&lt;$AB16,"B","E")))</f>
        <v>E</v>
      </c>
      <c r="AD16" s="53"/>
    </row>
    <row r="17" customFormat="false" ht="15.75" hidden="false" customHeight="true" outlineLevel="0" collapsed="false">
      <c r="A17" s="56"/>
      <c r="B17" s="73" t="s">
        <v>70</v>
      </c>
      <c r="C17" s="74" t="str">
        <f aca="false">TRIM(LEFT(B17,FIND(" x ",B17)-1))</f>
        <v>Arábia Saudita</v>
      </c>
      <c r="D17" s="74" t="str">
        <f aca="false">TRIM(MID(B17,FIND(" x ",B17)+3,100))</f>
        <v>Uruguai</v>
      </c>
      <c r="E17" s="75" t="s">
        <v>50</v>
      </c>
      <c r="F17" s="22"/>
      <c r="G17" s="40" t="s">
        <v>45</v>
      </c>
      <c r="H17" s="91" t="s">
        <v>45</v>
      </c>
      <c r="I17" s="91" t="s">
        <v>45</v>
      </c>
      <c r="J17" s="91" t="s">
        <v>45</v>
      </c>
      <c r="K17" s="91" t="s">
        <v>45</v>
      </c>
      <c r="L17" s="91" t="s">
        <v>45</v>
      </c>
      <c r="M17" s="91" t="s">
        <v>45</v>
      </c>
      <c r="N17" s="91" t="s">
        <v>45</v>
      </c>
      <c r="O17" s="91" t="s">
        <v>45</v>
      </c>
      <c r="P17" s="91" t="s">
        <v>45</v>
      </c>
      <c r="Q17" s="41" t="s">
        <v>44</v>
      </c>
      <c r="R17" s="41" t="s">
        <v>45</v>
      </c>
      <c r="S17" s="41" t="s">
        <v>45</v>
      </c>
      <c r="T17" s="41" t="s">
        <v>45</v>
      </c>
      <c r="U17" s="41" t="s">
        <v>45</v>
      </c>
      <c r="V17" s="41" t="s">
        <v>45</v>
      </c>
      <c r="W17" s="41" t="s">
        <v>45</v>
      </c>
      <c r="X17" s="41" t="s">
        <v>45</v>
      </c>
      <c r="Y17" s="41" t="s">
        <v>45</v>
      </c>
      <c r="Z17" s="41" t="s">
        <v>45</v>
      </c>
      <c r="AA17" s="43" t="n">
        <f aca="false">IFERROR(VALUE(TRIM(LEFT($E17,SEARCH("x",$E17)-1))),"")</f>
        <v>1</v>
      </c>
      <c r="AB17" s="44" t="n">
        <f aca="false">IFERROR(VALUE(TRIM(MID($E17,SEARCH("x",$E17)+1,10))),"")</f>
        <v>1</v>
      </c>
      <c r="AC17" s="45" t="str">
        <f aca="false">IF(OR($AA17="",$AB17=""),"",IF($AA17&gt;$AB17,"A",IF($AA17&lt;$AB17,"B","E")))</f>
        <v>E</v>
      </c>
      <c r="AD17" s="53"/>
    </row>
    <row r="18" customFormat="false" ht="15.75" hidden="false" customHeight="true" outlineLevel="0" collapsed="false">
      <c r="A18" s="76" t="n">
        <v>46189</v>
      </c>
      <c r="B18" s="47" t="s">
        <v>71</v>
      </c>
      <c r="C18" s="48" t="str">
        <f aca="false">TRIM(LEFT(B18,FIND(" x ",B18)-1))</f>
        <v>França</v>
      </c>
      <c r="D18" s="48" t="str">
        <f aca="false">TRIM(MID(B18,FIND(" x ",B18)+3,100))</f>
        <v>Senegal</v>
      </c>
      <c r="E18" s="49" t="s">
        <v>72</v>
      </c>
      <c r="F18" s="22"/>
      <c r="G18" s="59" t="s">
        <v>44</v>
      </c>
      <c r="H18" s="60" t="s">
        <v>44</v>
      </c>
      <c r="I18" s="60" t="s">
        <v>44</v>
      </c>
      <c r="J18" s="60" t="s">
        <v>44</v>
      </c>
      <c r="K18" s="60" t="s">
        <v>44</v>
      </c>
      <c r="L18" s="60" t="s">
        <v>44</v>
      </c>
      <c r="M18" s="60" t="s">
        <v>44</v>
      </c>
      <c r="N18" s="60" t="s">
        <v>44</v>
      </c>
      <c r="O18" s="60" t="s">
        <v>44</v>
      </c>
      <c r="P18" s="60" t="s">
        <v>44</v>
      </c>
      <c r="Q18" s="60" t="s">
        <v>44</v>
      </c>
      <c r="R18" s="60" t="s">
        <v>44</v>
      </c>
      <c r="S18" s="60" t="s">
        <v>44</v>
      </c>
      <c r="T18" s="60" t="s">
        <v>44</v>
      </c>
      <c r="U18" s="61" t="s">
        <v>44</v>
      </c>
      <c r="V18" s="61" t="s">
        <v>44</v>
      </c>
      <c r="W18" s="61" t="s">
        <v>44</v>
      </c>
      <c r="X18" s="61" t="s">
        <v>44</v>
      </c>
      <c r="Y18" s="61" t="s">
        <v>44</v>
      </c>
      <c r="Z18" s="60" t="s">
        <v>44</v>
      </c>
      <c r="AA18" s="43" t="n">
        <f aca="false">IFERROR(VALUE(TRIM(LEFT($E18,SEARCH("x",$E18)-1))),"")</f>
        <v>3</v>
      </c>
      <c r="AB18" s="44" t="n">
        <f aca="false">IFERROR(VALUE(TRIM(MID($E18,SEARCH("x",$E18)+1,10))),"")</f>
        <v>1</v>
      </c>
      <c r="AC18" s="45" t="str">
        <f aca="false">IF(OR($AA18="",$AB18=""),"",IF($AA18&gt;$AB18,"A",IF($AA18&lt;$AB18,"B","E")))</f>
        <v>A</v>
      </c>
      <c r="AD18" s="53"/>
    </row>
    <row r="19" customFormat="false" ht="15.75" hidden="false" customHeight="true" outlineLevel="0" collapsed="false">
      <c r="A19" s="76"/>
      <c r="B19" s="77" t="s">
        <v>73</v>
      </c>
      <c r="C19" s="78" t="str">
        <f aca="false">TRIM(LEFT(B19,FIND(" x ",B19)-1))</f>
        <v>Iraque</v>
      </c>
      <c r="D19" s="78" t="str">
        <f aca="false">TRIM(MID(B19,FIND(" x ",B19)+3,100))</f>
        <v>Noruega</v>
      </c>
      <c r="E19" s="79" t="s">
        <v>74</v>
      </c>
      <c r="F19" s="22"/>
      <c r="G19" s="65" t="s">
        <v>46</v>
      </c>
      <c r="H19" s="80" t="s">
        <v>45</v>
      </c>
      <c r="I19" s="80" t="s">
        <v>45</v>
      </c>
      <c r="J19" s="80" t="s">
        <v>45</v>
      </c>
      <c r="K19" s="80" t="s">
        <v>45</v>
      </c>
      <c r="L19" s="80" t="s">
        <v>46</v>
      </c>
      <c r="M19" s="80" t="s">
        <v>45</v>
      </c>
      <c r="N19" s="80" t="s">
        <v>45</v>
      </c>
      <c r="O19" s="80" t="s">
        <v>46</v>
      </c>
      <c r="P19" s="80" t="s">
        <v>45</v>
      </c>
      <c r="Q19" s="80" t="s">
        <v>44</v>
      </c>
      <c r="R19" s="80" t="s">
        <v>46</v>
      </c>
      <c r="S19" s="80" t="s">
        <v>45</v>
      </c>
      <c r="T19" s="80" t="s">
        <v>45</v>
      </c>
      <c r="U19" s="81" t="s">
        <v>45</v>
      </c>
      <c r="V19" s="81" t="s">
        <v>45</v>
      </c>
      <c r="W19" s="81" t="s">
        <v>45</v>
      </c>
      <c r="X19" s="81" t="s">
        <v>45</v>
      </c>
      <c r="Y19" s="81" t="s">
        <v>45</v>
      </c>
      <c r="Z19" s="80" t="s">
        <v>44</v>
      </c>
      <c r="AA19" s="43" t="n">
        <f aca="false">IFERROR(VALUE(TRIM(LEFT($E19,SEARCH("x",$E19)-1))),"")</f>
        <v>1</v>
      </c>
      <c r="AB19" s="44" t="n">
        <f aca="false">IFERROR(VALUE(TRIM(MID($E19,SEARCH("x",$E19)+1,10))),"")</f>
        <v>4</v>
      </c>
      <c r="AC19" s="45" t="str">
        <f aca="false">IF(OR($AA19="",$AB19=""),"",IF($AA19&gt;$AB19,"A",IF($AA19&lt;$AB19,"B","E")))</f>
        <v>B</v>
      </c>
      <c r="AD19" s="53"/>
    </row>
    <row r="20" customFormat="false" ht="15.75" hidden="false" customHeight="true" outlineLevel="0" collapsed="false">
      <c r="A20" s="76"/>
      <c r="B20" s="82" t="s">
        <v>75</v>
      </c>
      <c r="C20" s="83" t="str">
        <f aca="false">TRIM(LEFT(B20,FIND(" x ",B20)-1))</f>
        <v>Argentina</v>
      </c>
      <c r="D20" s="83" t="str">
        <f aca="false">TRIM(MID(B20,FIND(" x ",B20)+3,100))</f>
        <v>Argélia</v>
      </c>
      <c r="E20" s="84" t="s">
        <v>76</v>
      </c>
      <c r="F20" s="22"/>
      <c r="G20" s="70" t="s">
        <v>44</v>
      </c>
      <c r="H20" s="71" t="s">
        <v>44</v>
      </c>
      <c r="I20" s="71" t="s">
        <v>44</v>
      </c>
      <c r="J20" s="71" t="s">
        <v>44</v>
      </c>
      <c r="K20" s="71" t="s">
        <v>44</v>
      </c>
      <c r="L20" s="71" t="s">
        <v>44</v>
      </c>
      <c r="M20" s="71" t="s">
        <v>44</v>
      </c>
      <c r="N20" s="71" t="s">
        <v>44</v>
      </c>
      <c r="O20" s="71" t="s">
        <v>44</v>
      </c>
      <c r="P20" s="71" t="s">
        <v>44</v>
      </c>
      <c r="Q20" s="71" t="s">
        <v>44</v>
      </c>
      <c r="R20" s="71" t="s">
        <v>44</v>
      </c>
      <c r="S20" s="71" t="s">
        <v>44</v>
      </c>
      <c r="T20" s="71" t="s">
        <v>46</v>
      </c>
      <c r="U20" s="72" t="s">
        <v>44</v>
      </c>
      <c r="V20" s="72" t="s">
        <v>44</v>
      </c>
      <c r="W20" s="72" t="s">
        <v>44</v>
      </c>
      <c r="X20" s="72" t="s">
        <v>44</v>
      </c>
      <c r="Y20" s="72" t="s">
        <v>44</v>
      </c>
      <c r="Z20" s="71" t="s">
        <v>44</v>
      </c>
      <c r="AA20" s="43" t="n">
        <f aca="false">IFERROR(VALUE(TRIM(LEFT($E20,SEARCH("x",$E20)-1))),"")</f>
        <v>3</v>
      </c>
      <c r="AB20" s="44" t="n">
        <f aca="false">IFERROR(VALUE(TRIM(MID($E20,SEARCH("x",$E20)+1,10))),"")</f>
        <v>0</v>
      </c>
      <c r="AC20" s="45" t="str">
        <f aca="false">IF(OR($AA20="",$AB20=""),"",IF($AA20&gt;$AB20,"A",IF($AA20&lt;$AB20,"B","E")))</f>
        <v>A</v>
      </c>
      <c r="AD20" s="53"/>
    </row>
    <row r="21" customFormat="false" ht="15.75" hidden="false" customHeight="true" outlineLevel="0" collapsed="false">
      <c r="A21" s="76"/>
      <c r="B21" s="85" t="s">
        <v>77</v>
      </c>
      <c r="C21" s="86" t="str">
        <f aca="false">TRIM(LEFT(B21,FIND(" x ",B21)-1))</f>
        <v>Áustria</v>
      </c>
      <c r="D21" s="86" t="str">
        <f aca="false">TRIM(MID(B21,FIND(" x ",B21)+3,100))</f>
        <v>Jordânia</v>
      </c>
      <c r="E21" s="87" t="s">
        <v>72</v>
      </c>
      <c r="F21" s="22"/>
      <c r="G21" s="92" t="s">
        <v>44</v>
      </c>
      <c r="H21" s="93" t="s">
        <v>46</v>
      </c>
      <c r="I21" s="93" t="s">
        <v>46</v>
      </c>
      <c r="J21" s="94" t="s">
        <v>44</v>
      </c>
      <c r="K21" s="94" t="s">
        <v>44</v>
      </c>
      <c r="L21" s="94" t="s">
        <v>44</v>
      </c>
      <c r="M21" s="94" t="s">
        <v>44</v>
      </c>
      <c r="N21" s="94" t="s">
        <v>44</v>
      </c>
      <c r="O21" s="94" t="s">
        <v>44</v>
      </c>
      <c r="P21" s="94" t="s">
        <v>44</v>
      </c>
      <c r="Q21" s="94" t="s">
        <v>44</v>
      </c>
      <c r="R21" s="94" t="s">
        <v>44</v>
      </c>
      <c r="S21" s="93" t="s">
        <v>46</v>
      </c>
      <c r="T21" s="94" t="s">
        <v>44</v>
      </c>
      <c r="U21" s="95" t="s">
        <v>44</v>
      </c>
      <c r="V21" s="96" t="s">
        <v>46</v>
      </c>
      <c r="W21" s="95" t="s">
        <v>44</v>
      </c>
      <c r="X21" s="96" t="s">
        <v>46</v>
      </c>
      <c r="Y21" s="95" t="s">
        <v>44</v>
      </c>
      <c r="Z21" s="94" t="s">
        <v>44</v>
      </c>
      <c r="AA21" s="43" t="n">
        <f aca="false">IFERROR(VALUE(TRIM(LEFT($E21,SEARCH("x",$E21)-1))),"")</f>
        <v>3</v>
      </c>
      <c r="AB21" s="44" t="n">
        <f aca="false">IFERROR(VALUE(TRIM(MID($E21,SEARCH("x",$E21)+1,10))),"")</f>
        <v>1</v>
      </c>
      <c r="AC21" s="45" t="str">
        <f aca="false">IF(OR($AA21="",$AB21=""),"",IF($AA21&gt;$AB21,"A",IF($AA21&lt;$AB21,"B","E")))</f>
        <v>A</v>
      </c>
      <c r="AD21" s="53"/>
    </row>
    <row r="22" customFormat="false" ht="15.75" hidden="false" customHeight="true" outlineLevel="0" collapsed="false">
      <c r="A22" s="56" t="n">
        <v>46190</v>
      </c>
      <c r="B22" s="57" t="s">
        <v>78</v>
      </c>
      <c r="C22" s="58" t="str">
        <f aca="false">TRIM(LEFT(B22,FIND(" x ",B22)-1))</f>
        <v>Portugal</v>
      </c>
      <c r="D22" s="58" t="str">
        <f aca="false">TRIM(MID(B22,FIND(" x ",B22)+3,100))</f>
        <v>Rep. Dem. Congo</v>
      </c>
      <c r="E22" s="30" t="s">
        <v>50</v>
      </c>
      <c r="F22" s="22"/>
      <c r="G22" s="97" t="s">
        <v>44</v>
      </c>
      <c r="H22" s="98" t="s">
        <v>44</v>
      </c>
      <c r="I22" s="98" t="s">
        <v>44</v>
      </c>
      <c r="J22" s="98" t="s">
        <v>44</v>
      </c>
      <c r="K22" s="98" t="s">
        <v>44</v>
      </c>
      <c r="L22" s="98" t="s">
        <v>44</v>
      </c>
      <c r="M22" s="98" t="s">
        <v>44</v>
      </c>
      <c r="N22" s="98" t="s">
        <v>44</v>
      </c>
      <c r="O22" s="98" t="s">
        <v>44</v>
      </c>
      <c r="P22" s="98" t="s">
        <v>44</v>
      </c>
      <c r="Q22" s="98" t="s">
        <v>44</v>
      </c>
      <c r="R22" s="98" t="s">
        <v>44</v>
      </c>
      <c r="S22" s="98" t="s">
        <v>44</v>
      </c>
      <c r="T22" s="98" t="s">
        <v>44</v>
      </c>
      <c r="U22" s="98" t="s">
        <v>44</v>
      </c>
      <c r="V22" s="98" t="s">
        <v>44</v>
      </c>
      <c r="W22" s="98" t="s">
        <v>44</v>
      </c>
      <c r="X22" s="98" t="s">
        <v>44</v>
      </c>
      <c r="Y22" s="98" t="s">
        <v>44</v>
      </c>
      <c r="Z22" s="99" t="s">
        <v>44</v>
      </c>
      <c r="AA22" s="43" t="n">
        <f aca="false">IFERROR(VALUE(TRIM(LEFT($E22,SEARCH("x",$E22)-1))),"")</f>
        <v>1</v>
      </c>
      <c r="AB22" s="44" t="n">
        <f aca="false">IFERROR(VALUE(TRIM(MID($E22,SEARCH("x",$E22)+1,10))),"")</f>
        <v>1</v>
      </c>
      <c r="AC22" s="45" t="str">
        <f aca="false">IF(OR($AA22="",$AB22=""),"",IF($AA22&gt;$AB22,"A",IF($AA22&lt;$AB22,"B","E")))</f>
        <v>E</v>
      </c>
      <c r="AD22" s="53"/>
    </row>
    <row r="23" customFormat="false" ht="15.75" hidden="false" customHeight="true" outlineLevel="0" collapsed="false">
      <c r="A23" s="56"/>
      <c r="B23" s="62" t="s">
        <v>79</v>
      </c>
      <c r="C23" s="63" t="str">
        <f aca="false">TRIM(LEFT(B23,FIND(" x ",B23)-1))</f>
        <v>Uzbequistão</v>
      </c>
      <c r="D23" s="63" t="str">
        <f aca="false">TRIM(MID(B23,FIND(" x ",B23)+3,100))</f>
        <v>Colômbia</v>
      </c>
      <c r="E23" s="30" t="s">
        <v>80</v>
      </c>
      <c r="F23" s="22"/>
      <c r="G23" s="65" t="s">
        <v>45</v>
      </c>
      <c r="H23" s="100" t="s">
        <v>45</v>
      </c>
      <c r="I23" s="100" t="s">
        <v>45</v>
      </c>
      <c r="J23" s="100" t="s">
        <v>46</v>
      </c>
      <c r="K23" s="100" t="s">
        <v>45</v>
      </c>
      <c r="L23" s="100" t="s">
        <v>45</v>
      </c>
      <c r="M23" s="100" t="s">
        <v>45</v>
      </c>
      <c r="N23" s="100" t="s">
        <v>45</v>
      </c>
      <c r="O23" s="100" t="s">
        <v>45</v>
      </c>
      <c r="P23" s="100" t="s">
        <v>45</v>
      </c>
      <c r="Q23" s="100" t="s">
        <v>45</v>
      </c>
      <c r="R23" s="100" t="s">
        <v>45</v>
      </c>
      <c r="S23" s="100" t="s">
        <v>45</v>
      </c>
      <c r="T23" s="100" t="s">
        <v>45</v>
      </c>
      <c r="U23" s="100" t="s">
        <v>45</v>
      </c>
      <c r="V23" s="100" t="s">
        <v>45</v>
      </c>
      <c r="W23" s="100" t="s">
        <v>45</v>
      </c>
      <c r="X23" s="100" t="s">
        <v>45</v>
      </c>
      <c r="Y23" s="100" t="s">
        <v>45</v>
      </c>
      <c r="Z23" s="101" t="s">
        <v>45</v>
      </c>
      <c r="AA23" s="43" t="n">
        <f aca="false">IFERROR(VALUE(TRIM(LEFT($E23,SEARCH("x",$E23)-1))),"")</f>
        <v>1</v>
      </c>
      <c r="AB23" s="44" t="n">
        <f aca="false">IFERROR(VALUE(TRIM(MID($E23,SEARCH("x",$E23)+1,10))),"")</f>
        <v>3</v>
      </c>
      <c r="AC23" s="45" t="str">
        <f aca="false">IF(OR($AA23="",$AB23=""),"",IF($AA23&gt;$AB23,"A",IF($AA23&lt;$AB23,"B","E")))</f>
        <v>B</v>
      </c>
      <c r="AD23" s="53"/>
    </row>
    <row r="24" customFormat="false" ht="15.75" hidden="false" customHeight="true" outlineLevel="0" collapsed="false">
      <c r="A24" s="56"/>
      <c r="B24" s="67" t="s">
        <v>81</v>
      </c>
      <c r="C24" s="68" t="str">
        <f aca="false">TRIM(LEFT(B24,FIND(" x ",B24)-1))</f>
        <v>Inglaterra</v>
      </c>
      <c r="D24" s="68" t="str">
        <f aca="false">TRIM(MID(B24,FIND(" x ",B24)+3,100))</f>
        <v>Croácia</v>
      </c>
      <c r="E24" s="30" t="s">
        <v>82</v>
      </c>
      <c r="F24" s="22"/>
      <c r="G24" s="102" t="s">
        <v>44</v>
      </c>
      <c r="H24" s="103" t="s">
        <v>44</v>
      </c>
      <c r="I24" s="103" t="s">
        <v>44</v>
      </c>
      <c r="J24" s="103" t="s">
        <v>44</v>
      </c>
      <c r="K24" s="103" t="s">
        <v>44</v>
      </c>
      <c r="L24" s="103" t="s">
        <v>44</v>
      </c>
      <c r="M24" s="103" t="s">
        <v>44</v>
      </c>
      <c r="N24" s="103" t="s">
        <v>44</v>
      </c>
      <c r="O24" s="104" t="s">
        <v>46</v>
      </c>
      <c r="P24" s="104" t="s">
        <v>44</v>
      </c>
      <c r="Q24" s="104" t="s">
        <v>45</v>
      </c>
      <c r="R24" s="104" t="s">
        <v>44</v>
      </c>
      <c r="S24" s="104" t="s">
        <v>45</v>
      </c>
      <c r="T24" s="104" t="s">
        <v>46</v>
      </c>
      <c r="U24" s="105" t="s">
        <v>44</v>
      </c>
      <c r="V24" s="105" t="s">
        <v>44</v>
      </c>
      <c r="W24" s="105" t="s">
        <v>46</v>
      </c>
      <c r="X24" s="105" t="s">
        <v>44</v>
      </c>
      <c r="Y24" s="105" t="s">
        <v>46</v>
      </c>
      <c r="Z24" s="104" t="s">
        <v>45</v>
      </c>
      <c r="AA24" s="43" t="n">
        <f aca="false">IFERROR(VALUE(TRIM(LEFT($E24,SEARCH("x",$E24)-1))),"")</f>
        <v>4</v>
      </c>
      <c r="AB24" s="44" t="n">
        <f aca="false">IFERROR(VALUE(TRIM(MID($E24,SEARCH("x",$E24)+1,10))),"")</f>
        <v>2</v>
      </c>
      <c r="AC24" s="45" t="str">
        <f aca="false">IF(OR($AA24="",$AB24=""),"",IF($AA24&gt;$AB24,"A",IF($AA24&lt;$AB24,"B","E")))</f>
        <v>A</v>
      </c>
      <c r="AD24" s="53"/>
    </row>
    <row r="25" customFormat="false" ht="15.75" hidden="false" customHeight="true" outlineLevel="0" collapsed="false">
      <c r="A25" s="56"/>
      <c r="B25" s="73" t="s">
        <v>83</v>
      </c>
      <c r="C25" s="74" t="str">
        <f aca="false">TRIM(LEFT(B25,FIND(" x ",B25)-1))</f>
        <v>Gana</v>
      </c>
      <c r="D25" s="74" t="str">
        <f aca="false">TRIM(MID(B25,FIND(" x ",B25)+3,100))</f>
        <v>Panamá</v>
      </c>
      <c r="E25" s="30" t="s">
        <v>61</v>
      </c>
      <c r="F25" s="22"/>
      <c r="G25" s="106" t="s">
        <v>44</v>
      </c>
      <c r="H25" s="107" t="s">
        <v>44</v>
      </c>
      <c r="I25" s="107" t="s">
        <v>44</v>
      </c>
      <c r="J25" s="107" t="s">
        <v>46</v>
      </c>
      <c r="K25" s="107" t="s">
        <v>44</v>
      </c>
      <c r="L25" s="107" t="s">
        <v>46</v>
      </c>
      <c r="M25" s="107" t="s">
        <v>44</v>
      </c>
      <c r="N25" s="107" t="s">
        <v>44</v>
      </c>
      <c r="O25" s="107" t="s">
        <v>44</v>
      </c>
      <c r="P25" s="107" t="s">
        <v>44</v>
      </c>
      <c r="Q25" s="107" t="s">
        <v>44</v>
      </c>
      <c r="R25" s="107" t="s">
        <v>44</v>
      </c>
      <c r="S25" s="107" t="s">
        <v>46</v>
      </c>
      <c r="T25" s="107" t="s">
        <v>44</v>
      </c>
      <c r="U25" s="107" t="s">
        <v>44</v>
      </c>
      <c r="V25" s="107" t="s">
        <v>44</v>
      </c>
      <c r="W25" s="107" t="s">
        <v>44</v>
      </c>
      <c r="X25" s="107" t="s">
        <v>44</v>
      </c>
      <c r="Y25" s="107" t="s">
        <v>44</v>
      </c>
      <c r="Z25" s="107" t="s">
        <v>44</v>
      </c>
      <c r="AA25" s="43" t="n">
        <f aca="false">IFERROR(VALUE(TRIM(LEFT($E25,SEARCH("x",$E25)-1))),"")</f>
        <v>1</v>
      </c>
      <c r="AB25" s="44" t="n">
        <f aca="false">IFERROR(VALUE(TRIM(MID($E25,SEARCH("x",$E25)+1,10))),"")</f>
        <v>0</v>
      </c>
      <c r="AC25" s="45" t="str">
        <f aca="false">IF(OR($AA25="",$AB25=""),"",IF($AA25&gt;$AB25,"A",IF($AA25&lt;$AB25,"B","E")))</f>
        <v>A</v>
      </c>
      <c r="AD25" s="53"/>
    </row>
    <row r="26" customFormat="false" ht="15.75" hidden="false" customHeight="true" outlineLevel="0" collapsed="false">
      <c r="A26" s="76" t="n">
        <v>46191</v>
      </c>
      <c r="B26" s="47" t="s">
        <v>84</v>
      </c>
      <c r="C26" s="48" t="str">
        <f aca="false">TRIM(LEFT(B26,FIND(" x ",B26)-1))</f>
        <v>Tchéquia</v>
      </c>
      <c r="D26" s="48" t="str">
        <f aca="false">TRIM(MID(B26,FIND(" x ",B26)+3,100))</f>
        <v>África do Sul</v>
      </c>
      <c r="E26" s="30" t="s">
        <v>50</v>
      </c>
      <c r="F26" s="22"/>
      <c r="G26" s="59" t="s">
        <v>44</v>
      </c>
      <c r="H26" s="60" t="s">
        <v>44</v>
      </c>
      <c r="I26" s="60" t="s">
        <v>44</v>
      </c>
      <c r="J26" s="60" t="s">
        <v>44</v>
      </c>
      <c r="K26" s="60" t="s">
        <v>44</v>
      </c>
      <c r="L26" s="60" t="s">
        <v>44</v>
      </c>
      <c r="M26" s="60" t="s">
        <v>44</v>
      </c>
      <c r="N26" s="60" t="s">
        <v>44</v>
      </c>
      <c r="O26" s="60" t="s">
        <v>44</v>
      </c>
      <c r="P26" s="60" t="s">
        <v>44</v>
      </c>
      <c r="Q26" s="60" t="s">
        <v>44</v>
      </c>
      <c r="R26" s="60" t="s">
        <v>46</v>
      </c>
      <c r="S26" s="60" t="s">
        <v>46</v>
      </c>
      <c r="T26" s="60" t="s">
        <v>44</v>
      </c>
      <c r="U26" s="61" t="s">
        <v>44</v>
      </c>
      <c r="V26" s="61" t="s">
        <v>44</v>
      </c>
      <c r="W26" s="61" t="s">
        <v>45</v>
      </c>
      <c r="X26" s="61" t="s">
        <v>45</v>
      </c>
      <c r="Y26" s="61" t="s">
        <v>44</v>
      </c>
      <c r="Z26" s="60" t="s">
        <v>44</v>
      </c>
      <c r="AA26" s="43" t="n">
        <f aca="false">IFERROR(VALUE(TRIM(LEFT($E26,SEARCH("x",$E26)-1))),"")</f>
        <v>1</v>
      </c>
      <c r="AB26" s="44" t="n">
        <f aca="false">IFERROR(VALUE(TRIM(MID($E26,SEARCH("x",$E26)+1,10))),"")</f>
        <v>1</v>
      </c>
      <c r="AC26" s="45" t="str">
        <f aca="false">IF(OR($AA26="",$AB26=""),"",IF($AA26&gt;$AB26,"A",IF($AA26&lt;$AB26,"B","E")))</f>
        <v>E</v>
      </c>
      <c r="AD26" s="53"/>
    </row>
    <row r="27" customFormat="false" ht="15.75" hidden="false" customHeight="true" outlineLevel="0" collapsed="false">
      <c r="A27" s="76"/>
      <c r="B27" s="77" t="s">
        <v>85</v>
      </c>
      <c r="C27" s="78" t="str">
        <f aca="false">TRIM(LEFT(B27,FIND(" x ",B27)-1))</f>
        <v>México</v>
      </c>
      <c r="D27" s="78" t="str">
        <f aca="false">TRIM(MID(B27,FIND(" x ",B27)+3,100))</f>
        <v>Coreia do Sul</v>
      </c>
      <c r="E27" s="30" t="s">
        <v>61</v>
      </c>
      <c r="F27" s="22"/>
      <c r="G27" s="65" t="s">
        <v>44</v>
      </c>
      <c r="H27" s="80" t="s">
        <v>44</v>
      </c>
      <c r="I27" s="80" t="s">
        <v>45</v>
      </c>
      <c r="J27" s="80" t="s">
        <v>44</v>
      </c>
      <c r="K27" s="80" t="s">
        <v>45</v>
      </c>
      <c r="L27" s="80" t="s">
        <v>45</v>
      </c>
      <c r="M27" s="80" t="s">
        <v>44</v>
      </c>
      <c r="N27" s="80" t="s">
        <v>44</v>
      </c>
      <c r="O27" s="80" t="s">
        <v>44</v>
      </c>
      <c r="P27" s="80" t="s">
        <v>45</v>
      </c>
      <c r="Q27" s="80" t="s">
        <v>44</v>
      </c>
      <c r="R27" s="80" t="s">
        <v>46</v>
      </c>
      <c r="S27" s="80" t="s">
        <v>46</v>
      </c>
      <c r="T27" s="80" t="s">
        <v>46</v>
      </c>
      <c r="U27" s="81" t="s">
        <v>44</v>
      </c>
      <c r="V27" s="81" t="s">
        <v>45</v>
      </c>
      <c r="W27" s="81" t="s">
        <v>45</v>
      </c>
      <c r="X27" s="81" t="s">
        <v>45</v>
      </c>
      <c r="Y27" s="81" t="s">
        <v>45</v>
      </c>
      <c r="Z27" s="80"/>
      <c r="AA27" s="43" t="n">
        <f aca="false">IFERROR(VALUE(TRIM(LEFT($E27,SEARCH("x",$E27)-1))),"")</f>
        <v>1</v>
      </c>
      <c r="AB27" s="44" t="n">
        <f aca="false">IFERROR(VALUE(TRIM(MID($E27,SEARCH("x",$E27)+1,10))),"")</f>
        <v>0</v>
      </c>
      <c r="AC27" s="45" t="str">
        <f aca="false">IF(OR($AA27="",$AB27=""),"",IF($AA27&gt;$AB27,"A",IF($AA27&lt;$AB27,"B","E")))</f>
        <v>A</v>
      </c>
      <c r="AD27" s="53"/>
    </row>
    <row r="28" customFormat="false" ht="15.75" hidden="false" customHeight="true" outlineLevel="0" collapsed="false">
      <c r="A28" s="76"/>
      <c r="B28" s="82" t="s">
        <v>86</v>
      </c>
      <c r="C28" s="83" t="str">
        <f aca="false">TRIM(LEFT(B28,FIND(" x ",B28)-1))</f>
        <v>Suíça</v>
      </c>
      <c r="D28" s="83" t="str">
        <f aca="false">TRIM(MID(B28,FIND(" x ",B28)+3,100))</f>
        <v>Bósnia e Herzeg.</v>
      </c>
      <c r="E28" s="30" t="s">
        <v>52</v>
      </c>
      <c r="F28" s="22"/>
      <c r="G28" s="70" t="s">
        <v>44</v>
      </c>
      <c r="H28" s="71" t="s">
        <v>44</v>
      </c>
      <c r="I28" s="71" t="s">
        <v>46</v>
      </c>
      <c r="J28" s="71" t="s">
        <v>44</v>
      </c>
      <c r="K28" s="71" t="s">
        <v>44</v>
      </c>
      <c r="L28" s="71" t="s">
        <v>44</v>
      </c>
      <c r="M28" s="71" t="s">
        <v>44</v>
      </c>
      <c r="N28" s="71" t="s">
        <v>44</v>
      </c>
      <c r="O28" s="71" t="s">
        <v>44</v>
      </c>
      <c r="P28" s="71" t="s">
        <v>44</v>
      </c>
      <c r="Q28" s="71" t="s">
        <v>44</v>
      </c>
      <c r="R28" s="71" t="s">
        <v>46</v>
      </c>
      <c r="S28" s="71" t="s">
        <v>44</v>
      </c>
      <c r="T28" s="71" t="s">
        <v>46</v>
      </c>
      <c r="U28" s="72" t="s">
        <v>44</v>
      </c>
      <c r="V28" s="72" t="s">
        <v>44</v>
      </c>
      <c r="W28" s="72" t="s">
        <v>44</v>
      </c>
      <c r="X28" s="72" t="s">
        <v>44</v>
      </c>
      <c r="Y28" s="72" t="s">
        <v>44</v>
      </c>
      <c r="Z28" s="71"/>
      <c r="AA28" s="43" t="n">
        <f aca="false">IFERROR(VALUE(TRIM(LEFT($E28,SEARCH("x",$E28)-1))),"")</f>
        <v>4</v>
      </c>
      <c r="AB28" s="44" t="n">
        <f aca="false">IFERROR(VALUE(TRIM(MID($E28,SEARCH("x",$E28)+1,10))),"")</f>
        <v>1</v>
      </c>
      <c r="AC28" s="45" t="str">
        <f aca="false">IF(OR($AA28="",$AB28=""),"",IF($AA28&gt;$AB28,"A",IF($AA28&lt;$AB28,"B","E")))</f>
        <v>A</v>
      </c>
      <c r="AD28" s="53"/>
    </row>
    <row r="29" customFormat="false" ht="15.75" hidden="false" customHeight="true" outlineLevel="0" collapsed="false">
      <c r="A29" s="76"/>
      <c r="B29" s="85" t="s">
        <v>87</v>
      </c>
      <c r="C29" s="86" t="str">
        <f aca="false">TRIM(LEFT(B29,FIND(" x ",B29)-1))</f>
        <v>Canadá</v>
      </c>
      <c r="D29" s="86" t="str">
        <f aca="false">TRIM(MID(B29,FIND(" x ",B29)+3,100))</f>
        <v>Catar</v>
      </c>
      <c r="E29" s="30" t="s">
        <v>88</v>
      </c>
      <c r="F29" s="22"/>
      <c r="G29" s="40" t="s">
        <v>44</v>
      </c>
      <c r="H29" s="41" t="s">
        <v>44</v>
      </c>
      <c r="I29" s="41" t="s">
        <v>44</v>
      </c>
      <c r="J29" s="41" t="s">
        <v>44</v>
      </c>
      <c r="K29" s="41" t="s">
        <v>44</v>
      </c>
      <c r="L29" s="41" t="s">
        <v>44</v>
      </c>
      <c r="M29" s="41" t="s">
        <v>44</v>
      </c>
      <c r="N29" s="41" t="s">
        <v>44</v>
      </c>
      <c r="O29" s="41" t="s">
        <v>44</v>
      </c>
      <c r="P29" s="41" t="s">
        <v>44</v>
      </c>
      <c r="Q29" s="41" t="s">
        <v>44</v>
      </c>
      <c r="R29" s="41" t="s">
        <v>44</v>
      </c>
      <c r="S29" s="41" t="s">
        <v>46</v>
      </c>
      <c r="T29" s="41" t="s">
        <v>44</v>
      </c>
      <c r="U29" s="42" t="s">
        <v>44</v>
      </c>
      <c r="V29" s="42" t="s">
        <v>44</v>
      </c>
      <c r="W29" s="42" t="s">
        <v>45</v>
      </c>
      <c r="X29" s="42" t="s">
        <v>45</v>
      </c>
      <c r="Y29" s="42" t="s">
        <v>44</v>
      </c>
      <c r="Z29" s="41"/>
      <c r="AA29" s="43" t="n">
        <f aca="false">IFERROR(VALUE(TRIM(LEFT($E29,SEARCH("x",$E29)-1))),"")</f>
        <v>6</v>
      </c>
      <c r="AB29" s="44" t="n">
        <f aca="false">IFERROR(VALUE(TRIM(MID($E29,SEARCH("x",$E29)+1,10))),"")</f>
        <v>0</v>
      </c>
      <c r="AC29" s="45" t="str">
        <f aca="false">IF(OR($AA29="",$AB29=""),"",IF($AA29&gt;$AB29,"A",IF($AA29&lt;$AB29,"B","E")))</f>
        <v>A</v>
      </c>
      <c r="AD29" s="53"/>
    </row>
    <row r="30" customFormat="false" ht="15.75" hidden="false" customHeight="true" outlineLevel="0" collapsed="false">
      <c r="A30" s="56" t="n">
        <v>46192</v>
      </c>
      <c r="B30" s="57" t="s">
        <v>89</v>
      </c>
      <c r="C30" s="58" t="str">
        <f aca="false">TRIM(LEFT(B30,FIND(" x ",B30)-1))</f>
        <v>Escócia</v>
      </c>
      <c r="D30" s="58" t="str">
        <f aca="false">TRIM(MID(B30,FIND(" x ",B30)+3,100))</f>
        <v>Marrocos</v>
      </c>
      <c r="E30" s="30" t="s">
        <v>56</v>
      </c>
      <c r="F30" s="22"/>
      <c r="G30" s="59" t="s">
        <v>45</v>
      </c>
      <c r="H30" s="60" t="s">
        <v>45</v>
      </c>
      <c r="I30" s="60" t="s">
        <v>45</v>
      </c>
      <c r="J30" s="60" t="s">
        <v>45</v>
      </c>
      <c r="K30" s="60" t="s">
        <v>45</v>
      </c>
      <c r="L30" s="60" t="s">
        <v>45</v>
      </c>
      <c r="M30" s="60" t="s">
        <v>45</v>
      </c>
      <c r="N30" s="60" t="s">
        <v>45</v>
      </c>
      <c r="O30" s="60" t="s">
        <v>45</v>
      </c>
      <c r="P30" s="60" t="s">
        <v>45</v>
      </c>
      <c r="Q30" s="60" t="s">
        <v>45</v>
      </c>
      <c r="R30" s="60" t="s">
        <v>45</v>
      </c>
      <c r="S30" s="60"/>
      <c r="T30" s="60" t="s">
        <v>46</v>
      </c>
      <c r="U30" s="61" t="s">
        <v>45</v>
      </c>
      <c r="V30" s="61" t="s">
        <v>45</v>
      </c>
      <c r="W30" s="61" t="s">
        <v>45</v>
      </c>
      <c r="X30" s="61" t="s">
        <v>45</v>
      </c>
      <c r="Y30" s="61" t="s">
        <v>45</v>
      </c>
      <c r="Z30" s="60" t="s">
        <v>45</v>
      </c>
      <c r="AA30" s="43" t="n">
        <f aca="false">IFERROR(VALUE(TRIM(LEFT($E30,SEARCH("x",$E30)-1))),"")</f>
        <v>0</v>
      </c>
      <c r="AB30" s="44" t="n">
        <f aca="false">IFERROR(VALUE(TRIM(MID($E30,SEARCH("x",$E30)+1,10))),"")</f>
        <v>1</v>
      </c>
      <c r="AC30" s="45" t="str">
        <f aca="false">IF(OR($AA30="",$AB30=""),"",IF($AA30&gt;$AB30,"A",IF($AA30&lt;$AB30,"B","E")))</f>
        <v>B</v>
      </c>
      <c r="AD30" s="53"/>
    </row>
    <row r="31" customFormat="false" ht="15.75" hidden="false" customHeight="true" outlineLevel="0" collapsed="false">
      <c r="A31" s="56"/>
      <c r="B31" s="62" t="s">
        <v>90</v>
      </c>
      <c r="C31" s="63" t="str">
        <f aca="false">TRIM(LEFT(B31,FIND(" x ",B31)-1))</f>
        <v>Brasil</v>
      </c>
      <c r="D31" s="63" t="str">
        <f aca="false">TRIM(MID(B31,FIND(" x ",B31)+3,100))</f>
        <v>Haiti</v>
      </c>
      <c r="E31" s="64" t="s">
        <v>76</v>
      </c>
      <c r="F31" s="22"/>
      <c r="G31" s="65" t="s">
        <v>44</v>
      </c>
      <c r="H31" s="80" t="s">
        <v>44</v>
      </c>
      <c r="I31" s="80" t="s">
        <v>44</v>
      </c>
      <c r="J31" s="80" t="s">
        <v>44</v>
      </c>
      <c r="K31" s="80" t="s">
        <v>44</v>
      </c>
      <c r="L31" s="80" t="s">
        <v>44</v>
      </c>
      <c r="M31" s="80" t="s">
        <v>44</v>
      </c>
      <c r="N31" s="80" t="s">
        <v>44</v>
      </c>
      <c r="O31" s="80" t="s">
        <v>44</v>
      </c>
      <c r="P31" s="80" t="s">
        <v>44</v>
      </c>
      <c r="Q31" s="80" t="s">
        <v>44</v>
      </c>
      <c r="R31" s="80" t="s">
        <v>44</v>
      </c>
      <c r="S31" s="80" t="s">
        <v>44</v>
      </c>
      <c r="T31" s="80" t="s">
        <v>44</v>
      </c>
      <c r="U31" s="81" t="s">
        <v>44</v>
      </c>
      <c r="V31" s="81" t="s">
        <v>44</v>
      </c>
      <c r="W31" s="81" t="s">
        <v>44</v>
      </c>
      <c r="X31" s="81" t="s">
        <v>44</v>
      </c>
      <c r="Y31" s="81" t="s">
        <v>44</v>
      </c>
      <c r="Z31" s="80" t="s">
        <v>44</v>
      </c>
      <c r="AA31" s="43" t="n">
        <f aca="false">IFERROR(VALUE(TRIM(LEFT($E31,SEARCH("x",$E31)-1))),"")</f>
        <v>3</v>
      </c>
      <c r="AB31" s="44" t="n">
        <f aca="false">IFERROR(VALUE(TRIM(MID($E31,SEARCH("x",$E31)+1,10))),"")</f>
        <v>0</v>
      </c>
      <c r="AC31" s="45" t="str">
        <f aca="false">IF(OR($AA31="",$AB31=""),"",IF($AA31&gt;$AB31,"A",IF($AA31&lt;$AB31,"B","E")))</f>
        <v>A</v>
      </c>
      <c r="AD31" s="53"/>
    </row>
    <row r="32" customFormat="false" ht="15.75" hidden="false" customHeight="true" outlineLevel="0" collapsed="false">
      <c r="A32" s="56"/>
      <c r="B32" s="67" t="s">
        <v>91</v>
      </c>
      <c r="C32" s="68" t="str">
        <f aca="false">TRIM(LEFT(B32,FIND(" x ",B32)-1))</f>
        <v>Estados Unidos</v>
      </c>
      <c r="D32" s="68" t="str">
        <f aca="false">TRIM(MID(B32,FIND(" x ",B32)+3,100))</f>
        <v>Austrália</v>
      </c>
      <c r="E32" s="69" t="s">
        <v>43</v>
      </c>
      <c r="F32" s="22"/>
      <c r="G32" s="70" t="s">
        <v>44</v>
      </c>
      <c r="H32" s="71" t="s">
        <v>44</v>
      </c>
      <c r="I32" s="71" t="s">
        <v>44</v>
      </c>
      <c r="J32" s="71" t="s">
        <v>44</v>
      </c>
      <c r="K32" s="71" t="s">
        <v>46</v>
      </c>
      <c r="L32" s="71" t="s">
        <v>44</v>
      </c>
      <c r="M32" s="71" t="s">
        <v>44</v>
      </c>
      <c r="N32" s="71" t="s">
        <v>44</v>
      </c>
      <c r="O32" s="71" t="s">
        <v>44</v>
      </c>
      <c r="P32" s="71" t="s">
        <v>44</v>
      </c>
      <c r="Q32" s="71" t="s">
        <v>44</v>
      </c>
      <c r="R32" s="71" t="s">
        <v>44</v>
      </c>
      <c r="S32" s="71"/>
      <c r="T32" s="71" t="s">
        <v>46</v>
      </c>
      <c r="U32" s="72" t="s">
        <v>44</v>
      </c>
      <c r="V32" s="72" t="s">
        <v>44</v>
      </c>
      <c r="W32" s="72" t="s">
        <v>44</v>
      </c>
      <c r="X32" s="72" t="s">
        <v>44</v>
      </c>
      <c r="Y32" s="72" t="s">
        <v>44</v>
      </c>
      <c r="Z32" s="71" t="s">
        <v>44</v>
      </c>
      <c r="AA32" s="43" t="n">
        <f aca="false">IFERROR(VALUE(TRIM(LEFT($E32,SEARCH("x",$E32)-1))),"")</f>
        <v>2</v>
      </c>
      <c r="AB32" s="44" t="n">
        <f aca="false">IFERROR(VALUE(TRIM(MID($E32,SEARCH("x",$E32)+1,10))),"")</f>
        <v>0</v>
      </c>
      <c r="AC32" s="45" t="str">
        <f aca="false">IF(OR($AA32="",$AB32=""),"",IF($AA32&gt;$AB32,"A",IF($AA32&lt;$AB32,"B","E")))</f>
        <v>A</v>
      </c>
      <c r="AD32" s="53"/>
    </row>
    <row r="33" customFormat="false" ht="15.75" hidden="false" customHeight="true" outlineLevel="0" collapsed="false">
      <c r="A33" s="56"/>
      <c r="B33" s="73" t="s">
        <v>92</v>
      </c>
      <c r="C33" s="74" t="str">
        <f aca="false">TRIM(LEFT(B33,FIND(" x ",B33)-1))</f>
        <v>Turquia</v>
      </c>
      <c r="D33" s="74" t="str">
        <f aca="false">TRIM(MID(B33,FIND(" x ",B33)+3,100))</f>
        <v>Paraguai</v>
      </c>
      <c r="E33" s="75" t="s">
        <v>56</v>
      </c>
      <c r="F33" s="22"/>
      <c r="G33" s="40" t="s">
        <v>44</v>
      </c>
      <c r="H33" s="41" t="s">
        <v>45</v>
      </c>
      <c r="I33" s="41" t="s">
        <v>44</v>
      </c>
      <c r="J33" s="41" t="s">
        <v>44</v>
      </c>
      <c r="K33" s="41" t="s">
        <v>44</v>
      </c>
      <c r="L33" s="41" t="s">
        <v>46</v>
      </c>
      <c r="M33" s="41" t="s">
        <v>44</v>
      </c>
      <c r="N33" s="41" t="s">
        <v>44</v>
      </c>
      <c r="O33" s="41" t="s">
        <v>46</v>
      </c>
      <c r="P33" s="41" t="s">
        <v>44</v>
      </c>
      <c r="Q33" s="41" t="s">
        <v>46</v>
      </c>
      <c r="R33" s="41" t="s">
        <v>44</v>
      </c>
      <c r="S33" s="41" t="s">
        <v>46</v>
      </c>
      <c r="T33" s="41" t="s">
        <v>44</v>
      </c>
      <c r="U33" s="42" t="s">
        <v>44</v>
      </c>
      <c r="V33" s="42" t="s">
        <v>44</v>
      </c>
      <c r="W33" s="42" t="s">
        <v>45</v>
      </c>
      <c r="X33" s="42" t="s">
        <v>45</v>
      </c>
      <c r="Y33" s="42" t="s">
        <v>44</v>
      </c>
      <c r="Z33" s="41" t="s">
        <v>45</v>
      </c>
      <c r="AA33" s="43" t="n">
        <f aca="false">IFERROR(VALUE(TRIM(LEFT($E33,SEARCH("x",$E33)-1))),"")</f>
        <v>0</v>
      </c>
      <c r="AB33" s="44" t="n">
        <f aca="false">IFERROR(VALUE(TRIM(MID($E33,SEARCH("x",$E33)+1,10))),"")</f>
        <v>1</v>
      </c>
      <c r="AC33" s="45" t="str">
        <f aca="false">IF(OR($AA33="",$AB33=""),"",IF($AA33&gt;$AB33,"A",IF($AA33&lt;$AB33,"B","E")))</f>
        <v>B</v>
      </c>
      <c r="AD33" s="53"/>
    </row>
    <row r="34" customFormat="false" ht="15.75" hidden="false" customHeight="true" outlineLevel="0" collapsed="false">
      <c r="A34" s="76" t="n">
        <v>46193</v>
      </c>
      <c r="B34" s="47" t="s">
        <v>93</v>
      </c>
      <c r="C34" s="48" t="str">
        <f aca="false">TRIM(LEFT(B34,FIND(" x ",B34)-1))</f>
        <v>Alemanha</v>
      </c>
      <c r="D34" s="48" t="str">
        <f aca="false">TRIM(MID(B34,FIND(" x ",B34)+3,100))</f>
        <v>Costa do Marfim</v>
      </c>
      <c r="E34" s="49" t="s">
        <v>48</v>
      </c>
      <c r="F34" s="22"/>
      <c r="G34" s="59" t="s">
        <v>44</v>
      </c>
      <c r="H34" s="60" t="s">
        <v>44</v>
      </c>
      <c r="I34" s="60" t="s">
        <v>44</v>
      </c>
      <c r="J34" s="60" t="s">
        <v>44</v>
      </c>
      <c r="K34" s="60" t="s">
        <v>44</v>
      </c>
      <c r="L34" s="60" t="s">
        <v>44</v>
      </c>
      <c r="M34" s="60" t="s">
        <v>44</v>
      </c>
      <c r="N34" s="60" t="s">
        <v>44</v>
      </c>
      <c r="O34" s="60" t="s">
        <v>44</v>
      </c>
      <c r="P34" s="60" t="s">
        <v>44</v>
      </c>
      <c r="Q34" s="60" t="s">
        <v>44</v>
      </c>
      <c r="R34" s="60" t="s">
        <v>44</v>
      </c>
      <c r="S34" s="60" t="s">
        <v>44</v>
      </c>
      <c r="T34" s="60" t="s">
        <v>44</v>
      </c>
      <c r="U34" s="61" t="s">
        <v>44</v>
      </c>
      <c r="V34" s="61" t="s">
        <v>46</v>
      </c>
      <c r="W34" s="61" t="s">
        <v>44</v>
      </c>
      <c r="X34" s="61" t="s">
        <v>44</v>
      </c>
      <c r="Y34" s="61" t="s">
        <v>44</v>
      </c>
      <c r="Z34" s="60" t="s">
        <v>46</v>
      </c>
      <c r="AA34" s="43" t="n">
        <f aca="false">IFERROR(VALUE(TRIM(LEFT($E34,SEARCH("x",$E34)-1))),"")</f>
        <v>2</v>
      </c>
      <c r="AB34" s="44" t="n">
        <f aca="false">IFERROR(VALUE(TRIM(MID($E34,SEARCH("x",$E34)+1,10))),"")</f>
        <v>1</v>
      </c>
      <c r="AC34" s="45" t="str">
        <f aca="false">IF(OR($AA34="",$AB34=""),"",IF($AA34&gt;$AB34,"A",IF($AA34&lt;$AB34,"B","E")))</f>
        <v>A</v>
      </c>
      <c r="AD34" s="53"/>
    </row>
    <row r="35" customFormat="false" ht="15.75" hidden="false" customHeight="true" outlineLevel="0" collapsed="false">
      <c r="A35" s="76"/>
      <c r="B35" s="77" t="s">
        <v>94</v>
      </c>
      <c r="C35" s="78" t="str">
        <f aca="false">TRIM(LEFT(B35,FIND(" x ",B35)-1))</f>
        <v>Equador</v>
      </c>
      <c r="D35" s="78" t="str">
        <f aca="false">TRIM(MID(B35,FIND(" x ",B35)+3,100))</f>
        <v>Curaçao</v>
      </c>
      <c r="E35" s="79" t="s">
        <v>69</v>
      </c>
      <c r="F35" s="22"/>
      <c r="G35" s="65" t="s">
        <v>44</v>
      </c>
      <c r="H35" s="80" t="s">
        <v>44</v>
      </c>
      <c r="I35" s="80" t="s">
        <v>44</v>
      </c>
      <c r="J35" s="80" t="s">
        <v>44</v>
      </c>
      <c r="K35" s="80" t="s">
        <v>44</v>
      </c>
      <c r="L35" s="80" t="s">
        <v>44</v>
      </c>
      <c r="M35" s="80" t="s">
        <v>44</v>
      </c>
      <c r="N35" s="80" t="s">
        <v>44</v>
      </c>
      <c r="O35" s="80" t="s">
        <v>44</v>
      </c>
      <c r="P35" s="80" t="s">
        <v>44</v>
      </c>
      <c r="Q35" s="80" t="s">
        <v>44</v>
      </c>
      <c r="R35" s="80" t="s">
        <v>44</v>
      </c>
      <c r="S35" s="80" t="s">
        <v>44</v>
      </c>
      <c r="T35" s="80" t="s">
        <v>44</v>
      </c>
      <c r="U35" s="81" t="s">
        <v>44</v>
      </c>
      <c r="V35" s="81" t="s">
        <v>44</v>
      </c>
      <c r="W35" s="81" t="s">
        <v>44</v>
      </c>
      <c r="X35" s="81" t="s">
        <v>44</v>
      </c>
      <c r="Y35" s="81" t="s">
        <v>44</v>
      </c>
      <c r="Z35" s="80" t="s">
        <v>46</v>
      </c>
      <c r="AA35" s="43" t="n">
        <f aca="false">IFERROR(VALUE(TRIM(LEFT($E35,SEARCH("x",$E35)-1))),"")</f>
        <v>0</v>
      </c>
      <c r="AB35" s="44" t="n">
        <f aca="false">IFERROR(VALUE(TRIM(MID($E35,SEARCH("x",$E35)+1,10))),"")</f>
        <v>0</v>
      </c>
      <c r="AC35" s="45" t="str">
        <f aca="false">IF(OR($AA35="",$AB35=""),"",IF($AA35&gt;$AB35,"A",IF($AA35&lt;$AB35,"B","E")))</f>
        <v>E</v>
      </c>
      <c r="AD35" s="53"/>
    </row>
    <row r="36" customFormat="false" ht="15.75" hidden="false" customHeight="true" outlineLevel="0" collapsed="false">
      <c r="A36" s="76"/>
      <c r="B36" s="82" t="s">
        <v>95</v>
      </c>
      <c r="C36" s="83" t="str">
        <f aca="false">TRIM(LEFT(B36,FIND(" x ",B36)-1))</f>
        <v>Países Baixos</v>
      </c>
      <c r="D36" s="83" t="str">
        <f aca="false">TRIM(MID(B36,FIND(" x ",B36)+3,100))</f>
        <v>Suécia</v>
      </c>
      <c r="E36" s="84" t="s">
        <v>65</v>
      </c>
      <c r="F36" s="22"/>
      <c r="G36" s="70" t="s">
        <v>44</v>
      </c>
      <c r="H36" s="71" t="s">
        <v>46</v>
      </c>
      <c r="I36" s="71" t="s">
        <v>45</v>
      </c>
      <c r="J36" s="71" t="s">
        <v>45</v>
      </c>
      <c r="K36" s="71" t="s">
        <v>44</v>
      </c>
      <c r="L36" s="71" t="s">
        <v>44</v>
      </c>
      <c r="M36" s="71" t="s">
        <v>44</v>
      </c>
      <c r="N36" s="71" t="s">
        <v>44</v>
      </c>
      <c r="O36" s="71" t="s">
        <v>44</v>
      </c>
      <c r="P36" s="71" t="s">
        <v>46</v>
      </c>
      <c r="Q36" s="71" t="s">
        <v>44</v>
      </c>
      <c r="R36" s="71" t="s">
        <v>44</v>
      </c>
      <c r="S36" s="71" t="s">
        <v>44</v>
      </c>
      <c r="T36" s="71" t="s">
        <v>44</v>
      </c>
      <c r="U36" s="72" t="s">
        <v>46</v>
      </c>
      <c r="V36" s="72" t="s">
        <v>44</v>
      </c>
      <c r="W36" s="72" t="s">
        <v>44</v>
      </c>
      <c r="X36" s="72" t="s">
        <v>44</v>
      </c>
      <c r="Y36" s="72" t="s">
        <v>44</v>
      </c>
      <c r="Z36" s="71" t="s">
        <v>46</v>
      </c>
      <c r="AA36" s="43" t="n">
        <f aca="false">IFERROR(VALUE(TRIM(LEFT($E36,SEARCH("x",$E36)-1))),"")</f>
        <v>5</v>
      </c>
      <c r="AB36" s="44" t="n">
        <f aca="false">IFERROR(VALUE(TRIM(MID($E36,SEARCH("x",$E36)+1,10))),"")</f>
        <v>1</v>
      </c>
      <c r="AC36" s="45" t="str">
        <f aca="false">IF(OR($AA36="",$AB36=""),"",IF($AA36&gt;$AB36,"A",IF($AA36&lt;$AB36,"B","E")))</f>
        <v>A</v>
      </c>
      <c r="AD36" s="53"/>
    </row>
    <row r="37" customFormat="false" ht="15.75" hidden="false" customHeight="true" outlineLevel="0" collapsed="false">
      <c r="A37" s="76"/>
      <c r="B37" s="85" t="s">
        <v>96</v>
      </c>
      <c r="C37" s="86" t="str">
        <f aca="false">TRIM(LEFT(B37,FIND(" x ",B37)-1))</f>
        <v>Tunísia</v>
      </c>
      <c r="D37" s="86" t="str">
        <f aca="false">TRIM(MID(B37,FIND(" x ",B37)+3,100))</f>
        <v>Japão</v>
      </c>
      <c r="E37" s="87" t="s">
        <v>97</v>
      </c>
      <c r="F37" s="22"/>
      <c r="G37" s="40" t="s">
        <v>45</v>
      </c>
      <c r="H37" s="41" t="s">
        <v>45</v>
      </c>
      <c r="I37" s="41" t="s">
        <v>45</v>
      </c>
      <c r="J37" s="41" t="s">
        <v>45</v>
      </c>
      <c r="K37" s="41" t="s">
        <v>45</v>
      </c>
      <c r="L37" s="41" t="s">
        <v>45</v>
      </c>
      <c r="M37" s="41" t="s">
        <v>45</v>
      </c>
      <c r="N37" s="41" t="s">
        <v>45</v>
      </c>
      <c r="O37" s="41" t="s">
        <v>45</v>
      </c>
      <c r="P37" s="41" t="s">
        <v>45</v>
      </c>
      <c r="Q37" s="41" t="s">
        <v>46</v>
      </c>
      <c r="R37" s="41" t="s">
        <v>45</v>
      </c>
      <c r="S37" s="41" t="s">
        <v>45</v>
      </c>
      <c r="T37" s="41" t="s">
        <v>45</v>
      </c>
      <c r="U37" s="42" t="s">
        <v>45</v>
      </c>
      <c r="V37" s="42" t="s">
        <v>45</v>
      </c>
      <c r="W37" s="42" t="s">
        <v>45</v>
      </c>
      <c r="X37" s="42" t="s">
        <v>45</v>
      </c>
      <c r="Y37" s="42" t="s">
        <v>45</v>
      </c>
      <c r="Z37" s="41" t="s">
        <v>45</v>
      </c>
      <c r="AA37" s="43" t="n">
        <f aca="false">IFERROR(VALUE(TRIM(LEFT($E37,SEARCH("x",$E37)-1))),"")</f>
        <v>0</v>
      </c>
      <c r="AB37" s="44" t="n">
        <f aca="false">IFERROR(VALUE(TRIM(MID($E37,SEARCH("x",$E37)+1,10))),"")</f>
        <v>4</v>
      </c>
      <c r="AC37" s="45" t="str">
        <f aca="false">IF(OR($AA37="",$AB37=""),"",IF($AA37&gt;$AB37,"A",IF($AA37&lt;$AB37,"B","E")))</f>
        <v>B</v>
      </c>
      <c r="AD37" s="53"/>
    </row>
    <row r="38" customFormat="false" ht="15.75" hidden="false" customHeight="true" outlineLevel="0" collapsed="false">
      <c r="A38" s="56" t="n">
        <v>46194</v>
      </c>
      <c r="B38" s="57" t="s">
        <v>98</v>
      </c>
      <c r="C38" s="58" t="str">
        <f aca="false">TRIM(LEFT(B38,FIND(" x ",B38)-1))</f>
        <v>Bélgica</v>
      </c>
      <c r="D38" s="58" t="str">
        <f aca="false">TRIM(MID(B38,FIND(" x ",B38)+3,100))</f>
        <v>Irã</v>
      </c>
      <c r="E38" s="30" t="s">
        <v>69</v>
      </c>
      <c r="F38" s="22"/>
      <c r="G38" s="59" t="s">
        <v>44</v>
      </c>
      <c r="H38" s="60" t="s">
        <v>44</v>
      </c>
      <c r="I38" s="60" t="s">
        <v>44</v>
      </c>
      <c r="J38" s="60" t="s">
        <v>44</v>
      </c>
      <c r="K38" s="60" t="s">
        <v>44</v>
      </c>
      <c r="L38" s="60" t="s">
        <v>44</v>
      </c>
      <c r="M38" s="60" t="s">
        <v>44</v>
      </c>
      <c r="N38" s="60" t="s">
        <v>44</v>
      </c>
      <c r="O38" s="60" t="s">
        <v>44</v>
      </c>
      <c r="P38" s="60" t="s">
        <v>44</v>
      </c>
      <c r="Q38" s="60" t="s">
        <v>44</v>
      </c>
      <c r="R38" s="60"/>
      <c r="S38" s="60" t="s">
        <v>46</v>
      </c>
      <c r="T38" s="60" t="s">
        <v>44</v>
      </c>
      <c r="U38" s="61" t="s">
        <v>44</v>
      </c>
      <c r="V38" s="61" t="s">
        <v>46</v>
      </c>
      <c r="W38" s="61" t="s">
        <v>46</v>
      </c>
      <c r="X38" s="61" t="s">
        <v>44</v>
      </c>
      <c r="Y38" s="61" t="s">
        <v>44</v>
      </c>
      <c r="Z38" s="60" t="s">
        <v>46</v>
      </c>
      <c r="AA38" s="43" t="n">
        <f aca="false">IFERROR(VALUE(TRIM(LEFT($E38,SEARCH("x",$E38)-1))),"")</f>
        <v>0</v>
      </c>
      <c r="AB38" s="44" t="n">
        <f aca="false">IFERROR(VALUE(TRIM(MID($E38,SEARCH("x",$E38)+1,10))),"")</f>
        <v>0</v>
      </c>
      <c r="AC38" s="45" t="str">
        <f aca="false">IF(OR($AA38="",$AB38=""),"",IF($AA38&gt;$AB38,"A",IF($AA38&lt;$AB38,"B","E")))</f>
        <v>E</v>
      </c>
      <c r="AD38" s="53"/>
    </row>
    <row r="39" customFormat="false" ht="15.75" hidden="false" customHeight="true" outlineLevel="0" collapsed="false">
      <c r="A39" s="56"/>
      <c r="B39" s="62" t="s">
        <v>99</v>
      </c>
      <c r="C39" s="63" t="str">
        <f aca="false">TRIM(LEFT(B39,FIND(" x ",B39)-1))</f>
        <v>Nova Zelândia</v>
      </c>
      <c r="D39" s="63" t="str">
        <f aca="false">TRIM(MID(B39,FIND(" x ",B39)+3,100))</f>
        <v>Egito</v>
      </c>
      <c r="E39" s="64" t="s">
        <v>80</v>
      </c>
      <c r="F39" s="22"/>
      <c r="G39" s="65" t="s">
        <v>46</v>
      </c>
      <c r="H39" s="80" t="s">
        <v>44</v>
      </c>
      <c r="I39" s="80" t="s">
        <v>45</v>
      </c>
      <c r="J39" s="80" t="s">
        <v>46</v>
      </c>
      <c r="K39" s="80" t="s">
        <v>46</v>
      </c>
      <c r="L39" s="80" t="s">
        <v>46</v>
      </c>
      <c r="M39" s="80" t="s">
        <v>45</v>
      </c>
      <c r="N39" s="80" t="s">
        <v>45</v>
      </c>
      <c r="O39" s="80" t="s">
        <v>45</v>
      </c>
      <c r="P39" s="80" t="s">
        <v>45</v>
      </c>
      <c r="Q39" s="80" t="s">
        <v>44</v>
      </c>
      <c r="R39" s="80" t="s">
        <v>44</v>
      </c>
      <c r="S39" s="80" t="s">
        <v>46</v>
      </c>
      <c r="T39" s="80" t="s">
        <v>45</v>
      </c>
      <c r="U39" s="81" t="s">
        <v>45</v>
      </c>
      <c r="V39" s="81" t="s">
        <v>45</v>
      </c>
      <c r="W39" s="81" t="s">
        <v>46</v>
      </c>
      <c r="X39" s="81" t="s">
        <v>45</v>
      </c>
      <c r="Y39" s="81" t="s">
        <v>44</v>
      </c>
      <c r="Z39" s="80" t="s">
        <v>45</v>
      </c>
      <c r="AA39" s="43" t="n">
        <f aca="false">IFERROR(VALUE(TRIM(LEFT($E39,SEARCH("x",$E39)-1))),"")</f>
        <v>1</v>
      </c>
      <c r="AB39" s="44" t="n">
        <f aca="false">IFERROR(VALUE(TRIM(MID($E39,SEARCH("x",$E39)+1,10))),"")</f>
        <v>3</v>
      </c>
      <c r="AC39" s="45" t="str">
        <f aca="false">IF(OR($AA39="",$AB39=""),"",IF($AA39&gt;$AB39,"A",IF($AA39&lt;$AB39,"B","E")))</f>
        <v>B</v>
      </c>
      <c r="AD39" s="53"/>
    </row>
    <row r="40" customFormat="false" ht="15.75" hidden="false" customHeight="true" outlineLevel="0" collapsed="false">
      <c r="A40" s="56"/>
      <c r="B40" s="67" t="s">
        <v>100</v>
      </c>
      <c r="C40" s="68" t="str">
        <f aca="false">TRIM(LEFT(B40,FIND(" x ",B40)-1))</f>
        <v>Espanha</v>
      </c>
      <c r="D40" s="68" t="str">
        <f aca="false">TRIM(MID(B40,FIND(" x ",B40)+3,100))</f>
        <v>Arábia Saudita</v>
      </c>
      <c r="E40" s="69" t="s">
        <v>101</v>
      </c>
      <c r="F40" s="22"/>
      <c r="G40" s="70" t="s">
        <v>44</v>
      </c>
      <c r="H40" s="71" t="s">
        <v>44</v>
      </c>
      <c r="I40" s="71" t="s">
        <v>44</v>
      </c>
      <c r="J40" s="71" t="s">
        <v>44</v>
      </c>
      <c r="K40" s="71" t="s">
        <v>44</v>
      </c>
      <c r="L40" s="71" t="s">
        <v>44</v>
      </c>
      <c r="M40" s="71" t="s">
        <v>44</v>
      </c>
      <c r="N40" s="71" t="s">
        <v>44</v>
      </c>
      <c r="O40" s="71" t="s">
        <v>44</v>
      </c>
      <c r="P40" s="71" t="s">
        <v>44</v>
      </c>
      <c r="Q40" s="71" t="s">
        <v>44</v>
      </c>
      <c r="R40" s="71"/>
      <c r="S40" s="71" t="s">
        <v>44</v>
      </c>
      <c r="T40" s="71" t="s">
        <v>44</v>
      </c>
      <c r="U40" s="72" t="s">
        <v>44</v>
      </c>
      <c r="V40" s="72" t="s">
        <v>44</v>
      </c>
      <c r="W40" s="72" t="s">
        <v>44</v>
      </c>
      <c r="X40" s="72" t="s">
        <v>44</v>
      </c>
      <c r="Y40" s="72" t="s">
        <v>44</v>
      </c>
      <c r="Z40" s="71" t="s">
        <v>44</v>
      </c>
      <c r="AA40" s="43" t="n">
        <f aca="false">IFERROR(VALUE(TRIM(LEFT($E40,SEARCH("x",$E40)-1))),"")</f>
        <v>4</v>
      </c>
      <c r="AB40" s="44" t="n">
        <f aca="false">IFERROR(VALUE(TRIM(MID($E40,SEARCH("x",$E40)+1,10))),"")</f>
        <v>0</v>
      </c>
      <c r="AC40" s="45" t="str">
        <f aca="false">IF(OR($AA40="",$AB40=""),"",IF($AA40&gt;$AB40,"A",IF($AA40&lt;$AB40,"B","E")))</f>
        <v>A</v>
      </c>
      <c r="AD40" s="53"/>
    </row>
    <row r="41" customFormat="false" ht="15.75" hidden="false" customHeight="true" outlineLevel="0" collapsed="false">
      <c r="A41" s="56"/>
      <c r="B41" s="73" t="s">
        <v>102</v>
      </c>
      <c r="C41" s="74" t="str">
        <f aca="false">TRIM(LEFT(B41,FIND(" x ",B41)-1))</f>
        <v>Uruguai</v>
      </c>
      <c r="D41" s="74" t="str">
        <f aca="false">TRIM(MID(B41,FIND(" x ",B41)+3,100))</f>
        <v>Cabo Verde</v>
      </c>
      <c r="E41" s="75" t="s">
        <v>63</v>
      </c>
      <c r="F41" s="22"/>
      <c r="G41" s="40" t="s">
        <v>44</v>
      </c>
      <c r="H41" s="41" t="s">
        <v>44</v>
      </c>
      <c r="I41" s="41" t="s">
        <v>44</v>
      </c>
      <c r="J41" s="41" t="s">
        <v>44</v>
      </c>
      <c r="K41" s="41" t="s">
        <v>44</v>
      </c>
      <c r="L41" s="41" t="s">
        <v>44</v>
      </c>
      <c r="M41" s="41" t="s">
        <v>44</v>
      </c>
      <c r="N41" s="41" t="s">
        <v>44</v>
      </c>
      <c r="O41" s="41" t="s">
        <v>44</v>
      </c>
      <c r="P41" s="41" t="s">
        <v>44</v>
      </c>
      <c r="Q41" s="41" t="s">
        <v>46</v>
      </c>
      <c r="R41" s="41"/>
      <c r="S41" s="41" t="s">
        <v>44</v>
      </c>
      <c r="T41" s="41" t="s">
        <v>44</v>
      </c>
      <c r="U41" s="42" t="s">
        <v>44</v>
      </c>
      <c r="V41" s="42" t="s">
        <v>44</v>
      </c>
      <c r="W41" s="42" t="s">
        <v>44</v>
      </c>
      <c r="X41" s="42" t="s">
        <v>44</v>
      </c>
      <c r="Y41" s="42" t="s">
        <v>44</v>
      </c>
      <c r="Z41" s="41" t="s">
        <v>46</v>
      </c>
      <c r="AA41" s="43" t="n">
        <f aca="false">IFERROR(VALUE(TRIM(LEFT($E41,SEARCH("x",$E41)-1))),"")</f>
        <v>2</v>
      </c>
      <c r="AB41" s="44" t="n">
        <f aca="false">IFERROR(VALUE(TRIM(MID($E41,SEARCH("x",$E41)+1,10))),"")</f>
        <v>2</v>
      </c>
      <c r="AC41" s="45" t="str">
        <f aca="false">IF(OR($AA41="",$AB41=""),"",IF($AA41&gt;$AB41,"A",IF($AA41&lt;$AB41,"B","E")))</f>
        <v>E</v>
      </c>
      <c r="AD41" s="53"/>
    </row>
    <row r="42" customFormat="false" ht="15.75" hidden="false" customHeight="true" outlineLevel="0" collapsed="false">
      <c r="A42" s="76" t="n">
        <v>46195</v>
      </c>
      <c r="B42" s="47" t="s">
        <v>103</v>
      </c>
      <c r="C42" s="48" t="str">
        <f aca="false">TRIM(LEFT(B42,FIND(" x ",B42)-1))</f>
        <v>França</v>
      </c>
      <c r="D42" s="48" t="str">
        <f aca="false">TRIM(MID(B42,FIND(" x ",B42)+3,100))</f>
        <v>Iraque</v>
      </c>
      <c r="E42" s="49" t="s">
        <v>61</v>
      </c>
      <c r="F42" s="22"/>
      <c r="G42" s="59" t="s">
        <v>44</v>
      </c>
      <c r="H42" s="60" t="s">
        <v>44</v>
      </c>
      <c r="I42" s="60" t="s">
        <v>44</v>
      </c>
      <c r="J42" s="60" t="s">
        <v>44</v>
      </c>
      <c r="K42" s="60" t="s">
        <v>44</v>
      </c>
      <c r="L42" s="60" t="s">
        <v>44</v>
      </c>
      <c r="M42" s="60" t="s">
        <v>44</v>
      </c>
      <c r="N42" s="60" t="s">
        <v>44</v>
      </c>
      <c r="O42" s="60" t="s">
        <v>44</v>
      </c>
      <c r="P42" s="60" t="s">
        <v>44</v>
      </c>
      <c r="Q42" s="60" t="s">
        <v>44</v>
      </c>
      <c r="R42" s="60" t="s">
        <v>44</v>
      </c>
      <c r="S42" s="60" t="s">
        <v>44</v>
      </c>
      <c r="T42" s="60" t="s">
        <v>44</v>
      </c>
      <c r="U42" s="61" t="s">
        <v>44</v>
      </c>
      <c r="V42" s="61" t="s">
        <v>44</v>
      </c>
      <c r="W42" s="61" t="s">
        <v>44</v>
      </c>
      <c r="X42" s="61" t="s">
        <v>44</v>
      </c>
      <c r="Y42" s="61" t="s">
        <v>44</v>
      </c>
      <c r="Z42" s="60" t="s">
        <v>44</v>
      </c>
      <c r="AA42" s="43" t="n">
        <f aca="false">IFERROR(VALUE(TRIM(LEFT($E42,SEARCH("x",$E42)-1))),"")</f>
        <v>1</v>
      </c>
      <c r="AB42" s="44" t="n">
        <f aca="false">IFERROR(VALUE(TRIM(MID($E42,SEARCH("x",$E42)+1,10))),"")</f>
        <v>0</v>
      </c>
      <c r="AC42" s="45" t="str">
        <f aca="false">IF(OR($AA42="",$AB42=""),"",IF($AA42&gt;$AB42,"A",IF($AA42&lt;$AB42,"B","E")))</f>
        <v>A</v>
      </c>
      <c r="AD42" s="53"/>
    </row>
    <row r="43" customFormat="false" ht="15.75" hidden="false" customHeight="true" outlineLevel="0" collapsed="false">
      <c r="A43" s="76"/>
      <c r="B43" s="77" t="s">
        <v>104</v>
      </c>
      <c r="C43" s="78" t="str">
        <f aca="false">TRIM(LEFT(B43,FIND(" x ",B43)-1))</f>
        <v>Noruega</v>
      </c>
      <c r="D43" s="78" t="str">
        <f aca="false">TRIM(MID(B43,FIND(" x ",B43)+3,100))</f>
        <v>Senegal</v>
      </c>
      <c r="E43" s="79" t="s">
        <v>105</v>
      </c>
      <c r="F43" s="22"/>
      <c r="G43" s="65" t="s">
        <v>44</v>
      </c>
      <c r="H43" s="80" t="s">
        <v>46</v>
      </c>
      <c r="I43" s="80" t="s">
        <v>46</v>
      </c>
      <c r="J43" s="80" t="s">
        <v>44</v>
      </c>
      <c r="K43" s="80" t="s">
        <v>44</v>
      </c>
      <c r="L43" s="80" t="s">
        <v>44</v>
      </c>
      <c r="M43" s="80" t="s">
        <v>44</v>
      </c>
      <c r="N43" s="80" t="s">
        <v>44</v>
      </c>
      <c r="O43" s="80" t="s">
        <v>46</v>
      </c>
      <c r="P43" s="80" t="s">
        <v>44</v>
      </c>
      <c r="Q43" s="80" t="s">
        <v>44</v>
      </c>
      <c r="R43" s="80" t="s">
        <v>44</v>
      </c>
      <c r="S43" s="80" t="s">
        <v>44</v>
      </c>
      <c r="T43" s="80" t="s">
        <v>45</v>
      </c>
      <c r="U43" s="81" t="s">
        <v>46</v>
      </c>
      <c r="V43" s="81" t="s">
        <v>44</v>
      </c>
      <c r="W43" s="81" t="s">
        <v>44</v>
      </c>
      <c r="X43" s="81" t="s">
        <v>46</v>
      </c>
      <c r="Y43" s="81" t="s">
        <v>44</v>
      </c>
      <c r="Z43" s="80" t="s">
        <v>45</v>
      </c>
      <c r="AA43" s="43" t="n">
        <f aca="false">IFERROR(VALUE(TRIM(LEFT($E43,SEARCH("x",$E43)-1))),"")</f>
        <v>3</v>
      </c>
      <c r="AB43" s="44" t="n">
        <f aca="false">IFERROR(VALUE(TRIM(MID($E43,SEARCH("x",$E43)+1,10))),"")</f>
        <v>2</v>
      </c>
      <c r="AC43" s="45" t="str">
        <f aca="false">IF(OR($AA43="",$AB43=""),"",IF($AA43&gt;$AB43,"A",IF($AA43&lt;$AB43,"B","E")))</f>
        <v>A</v>
      </c>
      <c r="AD43" s="53"/>
    </row>
    <row r="44" customFormat="false" ht="15.75" hidden="false" customHeight="true" outlineLevel="0" collapsed="false">
      <c r="A44" s="76"/>
      <c r="B44" s="82" t="s">
        <v>106</v>
      </c>
      <c r="C44" s="83" t="str">
        <f aca="false">TRIM(LEFT(B44,FIND(" x ",B44)-1))</f>
        <v>Argentina</v>
      </c>
      <c r="D44" s="83" t="str">
        <f aca="false">TRIM(MID(B44,FIND(" x ",B44)+3,100))</f>
        <v>Áustria</v>
      </c>
      <c r="E44" s="84" t="s">
        <v>43</v>
      </c>
      <c r="F44" s="22"/>
      <c r="G44" s="70" t="s">
        <v>44</v>
      </c>
      <c r="H44" s="71" t="s">
        <v>44</v>
      </c>
      <c r="I44" s="71" t="s">
        <v>44</v>
      </c>
      <c r="J44" s="71" t="s">
        <v>44</v>
      </c>
      <c r="K44" s="71" t="s">
        <v>44</v>
      </c>
      <c r="L44" s="71" t="s">
        <v>44</v>
      </c>
      <c r="M44" s="71" t="s">
        <v>44</v>
      </c>
      <c r="N44" s="71" t="s">
        <v>44</v>
      </c>
      <c r="O44" s="71" t="s">
        <v>44</v>
      </c>
      <c r="P44" s="71" t="s">
        <v>44</v>
      </c>
      <c r="Q44" s="71" t="s">
        <v>46</v>
      </c>
      <c r="R44" s="71" t="s">
        <v>44</v>
      </c>
      <c r="S44" s="71" t="s">
        <v>46</v>
      </c>
      <c r="T44" s="71" t="s">
        <v>44</v>
      </c>
      <c r="U44" s="72" t="s">
        <v>44</v>
      </c>
      <c r="V44" s="72" t="s">
        <v>44</v>
      </c>
      <c r="W44" s="72" t="s">
        <v>44</v>
      </c>
      <c r="X44" s="72" t="s">
        <v>44</v>
      </c>
      <c r="Y44" s="72" t="s">
        <v>44</v>
      </c>
      <c r="Z44" s="71" t="s">
        <v>45</v>
      </c>
      <c r="AA44" s="43" t="n">
        <f aca="false">IFERROR(VALUE(TRIM(LEFT($E44,SEARCH("x",$E44)-1))),"")</f>
        <v>2</v>
      </c>
      <c r="AB44" s="44" t="n">
        <f aca="false">IFERROR(VALUE(TRIM(MID($E44,SEARCH("x",$E44)+1,10))),"")</f>
        <v>0</v>
      </c>
      <c r="AC44" s="45" t="str">
        <f aca="false">IF(OR($AA44="",$AB44=""),"",IF($AA44&gt;$AB44,"A",IF($AA44&lt;$AB44,"B","E")))</f>
        <v>A</v>
      </c>
      <c r="AD44" s="53"/>
    </row>
    <row r="45" customFormat="false" ht="15.75" hidden="false" customHeight="true" outlineLevel="0" collapsed="false">
      <c r="A45" s="76"/>
      <c r="B45" s="85" t="s">
        <v>107</v>
      </c>
      <c r="C45" s="86" t="str">
        <f aca="false">TRIM(LEFT(B45,FIND(" x ",B45)-1))</f>
        <v>Jordânia</v>
      </c>
      <c r="D45" s="86" t="str">
        <f aca="false">TRIM(MID(B45,FIND(" x ",B45)+3,100))</f>
        <v>Argélia</v>
      </c>
      <c r="E45" s="87" t="s">
        <v>108</v>
      </c>
      <c r="F45" s="22"/>
      <c r="G45" s="40" t="s">
        <v>45</v>
      </c>
      <c r="H45" s="41" t="s">
        <v>45</v>
      </c>
      <c r="I45" s="41" t="s">
        <v>45</v>
      </c>
      <c r="J45" s="41" t="s">
        <v>45</v>
      </c>
      <c r="K45" s="41" t="s">
        <v>45</v>
      </c>
      <c r="L45" s="41" t="s">
        <v>46</v>
      </c>
      <c r="M45" s="41" t="s">
        <v>45</v>
      </c>
      <c r="N45" s="41" t="s">
        <v>45</v>
      </c>
      <c r="O45" s="41" t="s">
        <v>45</v>
      </c>
      <c r="P45" s="41" t="s">
        <v>45</v>
      </c>
      <c r="Q45" s="41" t="s">
        <v>45</v>
      </c>
      <c r="R45" s="41" t="s">
        <v>45</v>
      </c>
      <c r="S45" s="41" t="s">
        <v>44</v>
      </c>
      <c r="T45" s="41" t="s">
        <v>45</v>
      </c>
      <c r="U45" s="42" t="s">
        <v>46</v>
      </c>
      <c r="V45" s="42" t="s">
        <v>46</v>
      </c>
      <c r="W45" s="42" t="s">
        <v>45</v>
      </c>
      <c r="X45" s="42" t="s">
        <v>45</v>
      </c>
      <c r="Y45" s="42" t="s">
        <v>46</v>
      </c>
      <c r="Z45" s="41" t="s">
        <v>46</v>
      </c>
      <c r="AA45" s="43" t="n">
        <f aca="false">IFERROR(VALUE(TRIM(LEFT($E45,SEARCH("x",$E45)-1))),"")</f>
        <v>1</v>
      </c>
      <c r="AB45" s="44" t="n">
        <f aca="false">IFERROR(VALUE(TRIM(MID($E45,SEARCH("x",$E45)+1,10))),"")</f>
        <v>2</v>
      </c>
      <c r="AC45" s="45" t="str">
        <f aca="false">IF(OR($AA45="",$AB45=""),"",IF($AA45&gt;$AB45,"A",IF($AA45&lt;$AB45,"B","E")))</f>
        <v>B</v>
      </c>
      <c r="AD45" s="53"/>
    </row>
    <row r="46" customFormat="false" ht="15.75" hidden="false" customHeight="true" outlineLevel="0" collapsed="false">
      <c r="A46" s="56" t="n">
        <v>46196</v>
      </c>
      <c r="B46" s="57" t="s">
        <v>109</v>
      </c>
      <c r="C46" s="58" t="str">
        <f aca="false">TRIM(LEFT(B46,FIND(" x ",B46)-1))</f>
        <v>Portugal</v>
      </c>
      <c r="D46" s="58" t="str">
        <f aca="false">TRIM(MID(B46,FIND(" x ",B46)+3,100))</f>
        <v>Uzbequistão</v>
      </c>
      <c r="E46" s="30" t="s">
        <v>110</v>
      </c>
      <c r="F46" s="22"/>
      <c r="G46" s="59" t="s">
        <v>44</v>
      </c>
      <c r="H46" s="88" t="s">
        <v>44</v>
      </c>
      <c r="I46" s="88" t="s">
        <v>44</v>
      </c>
      <c r="J46" s="88" t="s">
        <v>44</v>
      </c>
      <c r="K46" s="88" t="s">
        <v>44</v>
      </c>
      <c r="L46" s="88" t="s">
        <v>44</v>
      </c>
      <c r="M46" s="88" t="s">
        <v>44</v>
      </c>
      <c r="N46" s="88" t="s">
        <v>44</v>
      </c>
      <c r="O46" s="88" t="s">
        <v>44</v>
      </c>
      <c r="P46" s="88" t="s">
        <v>44</v>
      </c>
      <c r="Q46" s="88" t="s">
        <v>44</v>
      </c>
      <c r="R46" s="88" t="s">
        <v>44</v>
      </c>
      <c r="S46" s="88" t="s">
        <v>44</v>
      </c>
      <c r="T46" s="88" t="s">
        <v>44</v>
      </c>
      <c r="U46" s="88" t="s">
        <v>44</v>
      </c>
      <c r="V46" s="88" t="s">
        <v>44</v>
      </c>
      <c r="W46" s="88" t="s">
        <v>44</v>
      </c>
      <c r="X46" s="88" t="s">
        <v>44</v>
      </c>
      <c r="Y46" s="88" t="s">
        <v>44</v>
      </c>
      <c r="Z46" s="108" t="s">
        <v>44</v>
      </c>
      <c r="AA46" s="43" t="n">
        <f aca="false">IFERROR(VALUE(TRIM(LEFT($E46,SEARCH("x",$E46)-1))),"")</f>
        <v>5</v>
      </c>
      <c r="AB46" s="44" t="n">
        <f aca="false">IFERROR(VALUE(TRIM(MID($E46,SEARCH("x",$E46)+1,10))),"")</f>
        <v>0</v>
      </c>
      <c r="AC46" s="45" t="str">
        <f aca="false">IF(OR($AA46="",$AB46=""),"",IF($AA46&gt;$AB46,"A",IF($AA46&lt;$AB46,"B","E")))</f>
        <v>A</v>
      </c>
      <c r="AD46" s="53"/>
    </row>
    <row r="47" customFormat="false" ht="15.75" hidden="false" customHeight="true" outlineLevel="0" collapsed="false">
      <c r="A47" s="56"/>
      <c r="B47" s="62" t="s">
        <v>111</v>
      </c>
      <c r="C47" s="63" t="str">
        <f aca="false">TRIM(LEFT(B47,FIND(" x ",B47)-1))</f>
        <v>Colômbia</v>
      </c>
      <c r="D47" s="63" t="str">
        <f aca="false">TRIM(MID(B47,FIND(" x ",B47)+3,100))</f>
        <v>Rep. Dem. Congo</v>
      </c>
      <c r="E47" s="64" t="s">
        <v>112</v>
      </c>
      <c r="F47" s="22"/>
      <c r="G47" s="65" t="s">
        <v>44</v>
      </c>
      <c r="H47" s="80" t="s">
        <v>44</v>
      </c>
      <c r="I47" s="80" t="s">
        <v>44</v>
      </c>
      <c r="J47" s="80" t="s">
        <v>44</v>
      </c>
      <c r="K47" s="80" t="s">
        <v>44</v>
      </c>
      <c r="L47" s="80" t="s">
        <v>44</v>
      </c>
      <c r="M47" s="80" t="s">
        <v>44</v>
      </c>
      <c r="N47" s="80" t="s">
        <v>44</v>
      </c>
      <c r="O47" s="80" t="s">
        <v>44</v>
      </c>
      <c r="P47" s="80" t="s">
        <v>44</v>
      </c>
      <c r="Q47" s="80" t="s">
        <v>45</v>
      </c>
      <c r="R47" s="80" t="s">
        <v>46</v>
      </c>
      <c r="S47" s="80" t="s">
        <v>44</v>
      </c>
      <c r="T47" s="80" t="s">
        <v>46</v>
      </c>
      <c r="U47" s="81" t="s">
        <v>44</v>
      </c>
      <c r="V47" s="81" t="s">
        <v>44</v>
      </c>
      <c r="W47" s="81" t="s">
        <v>44</v>
      </c>
      <c r="X47" s="81" t="s">
        <v>44</v>
      </c>
      <c r="Y47" s="81" t="s">
        <v>46</v>
      </c>
      <c r="Z47" s="80" t="s">
        <v>44</v>
      </c>
      <c r="AA47" s="43" t="n">
        <f aca="false">IFERROR(VALUE(TRIM(LEFT($E47,SEARCH("x",$E47)-1))),"")</f>
        <v>1</v>
      </c>
      <c r="AB47" s="44" t="n">
        <f aca="false">IFERROR(VALUE(TRIM(MID($E47,SEARCH("x",$E47)+1,10))),"")</f>
        <v>0</v>
      </c>
      <c r="AC47" s="45" t="str">
        <f aca="false">IF(OR($AA47="",$AB47=""),"",IF($AA47&gt;$AB47,"A",IF($AA47&lt;$AB47,"B","E")))</f>
        <v>A</v>
      </c>
      <c r="AD47" s="53"/>
    </row>
    <row r="48" customFormat="false" ht="15.75" hidden="false" customHeight="true" outlineLevel="0" collapsed="false">
      <c r="A48" s="56"/>
      <c r="B48" s="67" t="s">
        <v>113</v>
      </c>
      <c r="C48" s="68" t="str">
        <f aca="false">TRIM(LEFT(B48,FIND(" x ",B48)-1))</f>
        <v>Inglaterra</v>
      </c>
      <c r="D48" s="68" t="str">
        <f aca="false">TRIM(MID(B48,FIND(" x ",B48)+3,100))</f>
        <v>Gana</v>
      </c>
      <c r="E48" s="69" t="s">
        <v>69</v>
      </c>
      <c r="F48" s="22"/>
      <c r="G48" s="70" t="s">
        <v>44</v>
      </c>
      <c r="H48" s="89" t="s">
        <v>44</v>
      </c>
      <c r="I48" s="89" t="s">
        <v>44</v>
      </c>
      <c r="J48" s="89" t="s">
        <v>44</v>
      </c>
      <c r="K48" s="89" t="s">
        <v>44</v>
      </c>
      <c r="L48" s="89" t="s">
        <v>44</v>
      </c>
      <c r="M48" s="89" t="s">
        <v>44</v>
      </c>
      <c r="N48" s="89" t="s">
        <v>44</v>
      </c>
      <c r="O48" s="89" t="s">
        <v>44</v>
      </c>
      <c r="P48" s="89" t="s">
        <v>44</v>
      </c>
      <c r="Q48" s="89" t="s">
        <v>46</v>
      </c>
      <c r="R48" s="89" t="s">
        <v>44</v>
      </c>
      <c r="S48" s="89" t="s">
        <v>44</v>
      </c>
      <c r="T48" s="89" t="s">
        <v>44</v>
      </c>
      <c r="U48" s="89" t="s">
        <v>44</v>
      </c>
      <c r="V48" s="89" t="s">
        <v>44</v>
      </c>
      <c r="W48" s="89" t="s">
        <v>44</v>
      </c>
      <c r="X48" s="89" t="s">
        <v>44</v>
      </c>
      <c r="Y48" s="89" t="s">
        <v>44</v>
      </c>
      <c r="Z48" s="90" t="s">
        <v>44</v>
      </c>
      <c r="AA48" s="43" t="n">
        <f aca="false">IFERROR(VALUE(TRIM(LEFT($E48,SEARCH("x",$E48)-1))),"")</f>
        <v>0</v>
      </c>
      <c r="AB48" s="44" t="n">
        <f aca="false">IFERROR(VALUE(TRIM(MID($E48,SEARCH("x",$E48)+1,10))),"")</f>
        <v>0</v>
      </c>
      <c r="AC48" s="45" t="str">
        <f aca="false">IF(OR($AA48="",$AB48=""),"",IF($AA48&gt;$AB48,"A",IF($AA48&lt;$AB48,"B","E")))</f>
        <v>E</v>
      </c>
      <c r="AD48" s="53"/>
    </row>
    <row r="49" customFormat="false" ht="15.75" hidden="false" customHeight="true" outlineLevel="0" collapsed="false">
      <c r="A49" s="56"/>
      <c r="B49" s="73" t="s">
        <v>114</v>
      </c>
      <c r="C49" s="74" t="str">
        <f aca="false">TRIM(LEFT(B49,FIND(" x ",B49)-1))</f>
        <v>Panamá</v>
      </c>
      <c r="D49" s="74" t="str">
        <f aca="false">TRIM(MID(B49,FIND(" x ",B49)+3,100))</f>
        <v>Croácia</v>
      </c>
      <c r="E49" s="75" t="s">
        <v>115</v>
      </c>
      <c r="F49" s="22"/>
      <c r="G49" s="40" t="s">
        <v>45</v>
      </c>
      <c r="H49" s="91" t="s">
        <v>45</v>
      </c>
      <c r="I49" s="91" t="s">
        <v>45</v>
      </c>
      <c r="J49" s="91" t="s">
        <v>45</v>
      </c>
      <c r="K49" s="91" t="s">
        <v>45</v>
      </c>
      <c r="L49" s="91" t="s">
        <v>45</v>
      </c>
      <c r="M49" s="91" t="s">
        <v>45</v>
      </c>
      <c r="N49" s="91" t="s">
        <v>45</v>
      </c>
      <c r="O49" s="91" t="s">
        <v>45</v>
      </c>
      <c r="P49" s="91" t="s">
        <v>45</v>
      </c>
      <c r="Q49" s="91" t="s">
        <v>45</v>
      </c>
      <c r="R49" s="91" t="s">
        <v>45</v>
      </c>
      <c r="S49" s="91" t="s">
        <v>45</v>
      </c>
      <c r="T49" s="91" t="s">
        <v>45</v>
      </c>
      <c r="U49" s="91" t="s">
        <v>45</v>
      </c>
      <c r="V49" s="91" t="s">
        <v>45</v>
      </c>
      <c r="W49" s="91" t="s">
        <v>45</v>
      </c>
      <c r="X49" s="91" t="s">
        <v>45</v>
      </c>
      <c r="Y49" s="91" t="s">
        <v>45</v>
      </c>
      <c r="Z49" s="109" t="s">
        <v>45</v>
      </c>
      <c r="AA49" s="43" t="n">
        <f aca="false">IFERROR(VALUE(TRIM(LEFT($E49,SEARCH("x",$E49)-1))),"")</f>
        <v>0</v>
      </c>
      <c r="AB49" s="44" t="n">
        <f aca="false">IFERROR(VALUE(TRIM(MID($E49,SEARCH("x",$E49)+1,10))),"")</f>
        <v>1</v>
      </c>
      <c r="AC49" s="45" t="str">
        <f aca="false">IF(OR($AA49="",$AB49=""),"",IF($AA49&gt;$AB49,"A",IF($AA49&lt;$AB49,"B","E")))</f>
        <v>B</v>
      </c>
      <c r="AD49" s="53"/>
    </row>
    <row r="50" customFormat="false" ht="15.75" hidden="false" customHeight="true" outlineLevel="0" collapsed="false">
      <c r="A50" s="76" t="n">
        <v>46197</v>
      </c>
      <c r="B50" s="47" t="s">
        <v>116</v>
      </c>
      <c r="C50" s="48" t="str">
        <f aca="false">TRIM(LEFT(B50,FIND(" x ",B50)-1))</f>
        <v>África do Sul</v>
      </c>
      <c r="D50" s="48" t="str">
        <f aca="false">TRIM(MID(B50,FIND(" x ",B50)+3,100))</f>
        <v>Coreia do Sul</v>
      </c>
      <c r="E50" s="49" t="s">
        <v>61</v>
      </c>
      <c r="F50" s="22"/>
      <c r="G50" s="60" t="s">
        <v>45</v>
      </c>
      <c r="H50" s="60" t="s">
        <v>45</v>
      </c>
      <c r="I50" s="60" t="s">
        <v>45</v>
      </c>
      <c r="J50" s="60" t="s">
        <v>45</v>
      </c>
      <c r="K50" s="60" t="s">
        <v>45</v>
      </c>
      <c r="L50" s="60" t="s">
        <v>45</v>
      </c>
      <c r="M50" s="60" t="s">
        <v>45</v>
      </c>
      <c r="N50" s="60" t="s">
        <v>45</v>
      </c>
      <c r="O50" s="60" t="s">
        <v>45</v>
      </c>
      <c r="P50" s="60" t="s">
        <v>45</v>
      </c>
      <c r="Q50" s="110" t="s">
        <v>45</v>
      </c>
      <c r="R50" s="60" t="s">
        <v>46</v>
      </c>
      <c r="S50" s="60" t="s">
        <v>45</v>
      </c>
      <c r="T50" s="60" t="s">
        <v>45</v>
      </c>
      <c r="U50" s="60" t="s">
        <v>45</v>
      </c>
      <c r="V50" s="60" t="s">
        <v>45</v>
      </c>
      <c r="W50" s="60" t="s">
        <v>45</v>
      </c>
      <c r="X50" s="60" t="s">
        <v>45</v>
      </c>
      <c r="Y50" s="60" t="s">
        <v>45</v>
      </c>
      <c r="Z50" s="60" t="s">
        <v>46</v>
      </c>
      <c r="AA50" s="43" t="n">
        <f aca="false">IFERROR(VALUE(TRIM(LEFT($E50,SEARCH("x",$E50)-1))),"")</f>
        <v>1</v>
      </c>
      <c r="AB50" s="44" t="n">
        <f aca="false">IFERROR(VALUE(TRIM(MID($E50,SEARCH("x",$E50)+1,10))),"")</f>
        <v>0</v>
      </c>
      <c r="AC50" s="45" t="str">
        <f aca="false">IF(OR($AA50="",$AB50=""),"",IF($AA50&gt;$AB50,"A",IF($AA50&lt;$AB50,"B","E")))</f>
        <v>A</v>
      </c>
      <c r="AD50" s="53"/>
    </row>
    <row r="51" customFormat="false" ht="15.75" hidden="false" customHeight="true" outlineLevel="0" collapsed="false">
      <c r="A51" s="76"/>
      <c r="B51" s="77" t="s">
        <v>117</v>
      </c>
      <c r="C51" s="78" t="str">
        <f aca="false">TRIM(LEFT(B51,FIND(" x ",B51)-1))</f>
        <v>Tchéquia</v>
      </c>
      <c r="D51" s="78" t="str">
        <f aca="false">TRIM(MID(B51,FIND(" x ",B51)+3,100))</f>
        <v>México</v>
      </c>
      <c r="E51" s="79" t="s">
        <v>118</v>
      </c>
      <c r="F51" s="22"/>
      <c r="G51" s="101" t="s">
        <v>45</v>
      </c>
      <c r="H51" s="80" t="s">
        <v>45</v>
      </c>
      <c r="I51" s="80" t="s">
        <v>45</v>
      </c>
      <c r="J51" s="80" t="s">
        <v>45</v>
      </c>
      <c r="K51" s="80" t="s">
        <v>45</v>
      </c>
      <c r="L51" s="80" t="s">
        <v>45</v>
      </c>
      <c r="M51" s="80" t="s">
        <v>45</v>
      </c>
      <c r="N51" s="80" t="s">
        <v>45</v>
      </c>
      <c r="O51" s="80" t="s">
        <v>45</v>
      </c>
      <c r="P51" s="80" t="s">
        <v>45</v>
      </c>
      <c r="Q51" s="111" t="s">
        <v>45</v>
      </c>
      <c r="R51" s="80" t="s">
        <v>45</v>
      </c>
      <c r="S51" s="80" t="s">
        <v>45</v>
      </c>
      <c r="T51" s="80" t="s">
        <v>46</v>
      </c>
      <c r="U51" s="80" t="s">
        <v>45</v>
      </c>
      <c r="V51" s="80" t="s">
        <v>45</v>
      </c>
      <c r="W51" s="80" t="s">
        <v>45</v>
      </c>
      <c r="X51" s="80" t="s">
        <v>45</v>
      </c>
      <c r="Y51" s="80" t="s">
        <v>45</v>
      </c>
      <c r="Z51" s="80" t="s">
        <v>45</v>
      </c>
      <c r="AA51" s="43" t="n">
        <f aca="false">IFERROR(VALUE(TRIM(LEFT($E51,SEARCH("x",$E51)-1))),"")</f>
        <v>0</v>
      </c>
      <c r="AB51" s="44" t="n">
        <f aca="false">IFERROR(VALUE(TRIM(MID($E51,SEARCH("x",$E51)+1,10))),"")</f>
        <v>3</v>
      </c>
      <c r="AC51" s="45" t="str">
        <f aca="false">IF(OR($AA51="",$AB51=""),"",IF($AA51&gt;$AB51,"A",IF($AA51&lt;$AB51,"B","E")))</f>
        <v>B</v>
      </c>
      <c r="AD51" s="53"/>
    </row>
    <row r="52" customFormat="false" ht="15.75" hidden="false" customHeight="true" outlineLevel="0" collapsed="false">
      <c r="A52" s="76"/>
      <c r="B52" s="82" t="s">
        <v>119</v>
      </c>
      <c r="C52" s="83" t="str">
        <f aca="false">TRIM(LEFT(B52,FIND(" x ",B52)-1))</f>
        <v>Suíça</v>
      </c>
      <c r="D52" s="83" t="str">
        <f aca="false">TRIM(MID(B52,FIND(" x ",B52)+3,100))</f>
        <v>Canadá</v>
      </c>
      <c r="E52" s="84" t="s">
        <v>48</v>
      </c>
      <c r="F52" s="22"/>
      <c r="G52" s="101" t="s">
        <v>45</v>
      </c>
      <c r="H52" s="80" t="s">
        <v>44</v>
      </c>
      <c r="I52" s="80" t="s">
        <v>45</v>
      </c>
      <c r="J52" s="80" t="s">
        <v>46</v>
      </c>
      <c r="K52" s="80" t="s">
        <v>45</v>
      </c>
      <c r="L52" s="80" t="s">
        <v>44</v>
      </c>
      <c r="M52" s="80" t="s">
        <v>45</v>
      </c>
      <c r="N52" s="80" t="s">
        <v>46</v>
      </c>
      <c r="O52" s="80" t="s">
        <v>45</v>
      </c>
      <c r="P52" s="80" t="s">
        <v>46</v>
      </c>
      <c r="Q52" s="111" t="s">
        <v>46</v>
      </c>
      <c r="R52" s="80" t="s">
        <v>46</v>
      </c>
      <c r="S52" s="80" t="s">
        <v>45</v>
      </c>
      <c r="T52" s="80" t="s">
        <v>44</v>
      </c>
      <c r="U52" s="80" t="s">
        <v>45</v>
      </c>
      <c r="V52" s="80" t="s">
        <v>45</v>
      </c>
      <c r="W52" s="80" t="s">
        <v>44</v>
      </c>
      <c r="X52" s="80" t="s">
        <v>45</v>
      </c>
      <c r="Y52" s="80" t="s">
        <v>45</v>
      </c>
      <c r="Z52" s="80" t="s">
        <v>45</v>
      </c>
      <c r="AA52" s="43" t="n">
        <f aca="false">IFERROR(VALUE(TRIM(LEFT($E52,SEARCH("x",$E52)-1))),"")</f>
        <v>2</v>
      </c>
      <c r="AB52" s="44" t="n">
        <f aca="false">IFERROR(VALUE(TRIM(MID($E52,SEARCH("x",$E52)+1,10))),"")</f>
        <v>1</v>
      </c>
      <c r="AC52" s="45" t="str">
        <f aca="false">IF(OR($AA52="",$AB52=""),"",IF($AA52&gt;$AB52,"A",IF($AA52&lt;$AB52,"B","E")))</f>
        <v>A</v>
      </c>
      <c r="AD52" s="53"/>
    </row>
    <row r="53" customFormat="false" ht="15.75" hidden="false" customHeight="true" outlineLevel="0" collapsed="false">
      <c r="A53" s="76"/>
      <c r="B53" s="82" t="s">
        <v>120</v>
      </c>
      <c r="C53" s="83" t="str">
        <f aca="false">TRIM(LEFT(B53,FIND(" x ",B53)-1))</f>
        <v>Bósnia e Herzeg.</v>
      </c>
      <c r="D53" s="83" t="str">
        <f aca="false">TRIM(MID(B53,FIND(" x ",B53)+3,100))</f>
        <v>Catar</v>
      </c>
      <c r="E53" s="84" t="s">
        <v>72</v>
      </c>
      <c r="F53" s="22"/>
      <c r="G53" s="101" t="s">
        <v>44</v>
      </c>
      <c r="H53" s="80" t="s">
        <v>44</v>
      </c>
      <c r="I53" s="80" t="s">
        <v>44</v>
      </c>
      <c r="J53" s="80" t="s">
        <v>44</v>
      </c>
      <c r="K53" s="80" t="s">
        <v>46</v>
      </c>
      <c r="L53" s="80" t="s">
        <v>44</v>
      </c>
      <c r="M53" s="80" t="s">
        <v>44</v>
      </c>
      <c r="N53" s="80" t="s">
        <v>44</v>
      </c>
      <c r="O53" s="80" t="s">
        <v>44</v>
      </c>
      <c r="P53" s="80" t="s">
        <v>44</v>
      </c>
      <c r="Q53" s="111" t="s">
        <v>44</v>
      </c>
      <c r="R53" s="80" t="s">
        <v>46</v>
      </c>
      <c r="S53" s="80" t="s">
        <v>44</v>
      </c>
      <c r="T53" s="80" t="s">
        <v>44</v>
      </c>
      <c r="U53" s="80" t="s">
        <v>44</v>
      </c>
      <c r="V53" s="80" t="s">
        <v>46</v>
      </c>
      <c r="W53" s="80" t="s">
        <v>45</v>
      </c>
      <c r="X53" s="80" t="s">
        <v>45</v>
      </c>
      <c r="Y53" s="80" t="s">
        <v>44</v>
      </c>
      <c r="Z53" s="80" t="s">
        <v>45</v>
      </c>
      <c r="AA53" s="43" t="n">
        <f aca="false">IFERROR(VALUE(TRIM(LEFT($E53,SEARCH("x",$E53)-1))),"")</f>
        <v>3</v>
      </c>
      <c r="AB53" s="44" t="n">
        <f aca="false">IFERROR(VALUE(TRIM(MID($E53,SEARCH("x",$E53)+1,10))),"")</f>
        <v>1</v>
      </c>
      <c r="AC53" s="45" t="str">
        <f aca="false">IF(OR($AA53="",$AB53=""),"",IF($AA53&gt;$AB53,"A",IF($AA53&lt;$AB53,"B","E")))</f>
        <v>A</v>
      </c>
      <c r="AD53" s="53"/>
    </row>
    <row r="54" customFormat="false" ht="15.75" hidden="false" customHeight="true" outlineLevel="0" collapsed="false">
      <c r="A54" s="76"/>
      <c r="B54" s="82" t="s">
        <v>121</v>
      </c>
      <c r="C54" s="83" t="str">
        <f aca="false">TRIM(LEFT(B54,FIND(" x ",B54)-1))</f>
        <v>Marrocos</v>
      </c>
      <c r="D54" s="83" t="str">
        <f aca="false">TRIM(MID(B54,FIND(" x ",B54)+3,100))</f>
        <v>Haiti</v>
      </c>
      <c r="E54" s="84" t="s">
        <v>82</v>
      </c>
      <c r="F54" s="22"/>
      <c r="G54" s="90" t="s">
        <v>44</v>
      </c>
      <c r="H54" s="71" t="s">
        <v>44</v>
      </c>
      <c r="I54" s="71" t="s">
        <v>44</v>
      </c>
      <c r="J54" s="71" t="s">
        <v>44</v>
      </c>
      <c r="K54" s="71" t="s">
        <v>44</v>
      </c>
      <c r="L54" s="71" t="s">
        <v>44</v>
      </c>
      <c r="M54" s="71" t="s">
        <v>44</v>
      </c>
      <c r="N54" s="71" t="s">
        <v>44</v>
      </c>
      <c r="O54" s="71" t="s">
        <v>44</v>
      </c>
      <c r="P54" s="71" t="s">
        <v>44</v>
      </c>
      <c r="Q54" s="112" t="s">
        <v>44</v>
      </c>
      <c r="R54" s="71" t="s">
        <v>44</v>
      </c>
      <c r="S54" s="71" t="s">
        <v>44</v>
      </c>
      <c r="T54" s="71" t="s">
        <v>44</v>
      </c>
      <c r="U54" s="71" t="s">
        <v>44</v>
      </c>
      <c r="V54" s="71" t="s">
        <v>44</v>
      </c>
      <c r="W54" s="71" t="s">
        <v>44</v>
      </c>
      <c r="X54" s="71" t="s">
        <v>44</v>
      </c>
      <c r="Y54" s="71" t="s">
        <v>44</v>
      </c>
      <c r="Z54" s="71" t="s">
        <v>44</v>
      </c>
      <c r="AA54" s="43" t="n">
        <f aca="false">IFERROR(VALUE(TRIM(LEFT($E54,SEARCH("x",$E54)-1))),"")</f>
        <v>4</v>
      </c>
      <c r="AB54" s="44" t="n">
        <f aca="false">IFERROR(VALUE(TRIM(MID($E54,SEARCH("x",$E54)+1,10))),"")</f>
        <v>2</v>
      </c>
      <c r="AC54" s="45" t="str">
        <f aca="false">IF(OR($AA54="",$AB54=""),"",IF($AA54&gt;$AB54,"A",IF($AA54&lt;$AB54,"B","E")))</f>
        <v>A</v>
      </c>
      <c r="AD54" s="53"/>
    </row>
    <row r="55" customFormat="false" ht="15.75" hidden="false" customHeight="true" outlineLevel="0" collapsed="false">
      <c r="A55" s="76"/>
      <c r="B55" s="85" t="s">
        <v>122</v>
      </c>
      <c r="C55" s="86" t="str">
        <f aca="false">TRIM(LEFT(B55,FIND(" x ",B55)-1))</f>
        <v>Escócia</v>
      </c>
      <c r="D55" s="86" t="str">
        <f aca="false">TRIM(MID(B55,FIND(" x ",B55)+3,100))</f>
        <v>Brasil</v>
      </c>
      <c r="E55" s="87" t="s">
        <v>118</v>
      </c>
      <c r="F55" s="22"/>
      <c r="G55" s="90" t="s">
        <v>45</v>
      </c>
      <c r="H55" s="71" t="s">
        <v>45</v>
      </c>
      <c r="I55" s="71" t="s">
        <v>45</v>
      </c>
      <c r="J55" s="71" t="s">
        <v>45</v>
      </c>
      <c r="K55" s="71" t="s">
        <v>45</v>
      </c>
      <c r="L55" s="71" t="s">
        <v>45</v>
      </c>
      <c r="M55" s="71" t="s">
        <v>45</v>
      </c>
      <c r="N55" s="71" t="s">
        <v>45</v>
      </c>
      <c r="O55" s="71" t="s">
        <v>45</v>
      </c>
      <c r="P55" s="71" t="s">
        <v>45</v>
      </c>
      <c r="Q55" s="112" t="s">
        <v>45</v>
      </c>
      <c r="R55" s="71" t="s">
        <v>45</v>
      </c>
      <c r="S55" s="71" t="s">
        <v>45</v>
      </c>
      <c r="T55" s="71" t="s">
        <v>45</v>
      </c>
      <c r="U55" s="71" t="s">
        <v>45</v>
      </c>
      <c r="V55" s="71" t="s">
        <v>45</v>
      </c>
      <c r="W55" s="71" t="s">
        <v>45</v>
      </c>
      <c r="X55" s="71" t="s">
        <v>45</v>
      </c>
      <c r="Y55" s="71" t="s">
        <v>45</v>
      </c>
      <c r="Z55" s="71" t="s">
        <v>45</v>
      </c>
      <c r="AA55" s="43" t="n">
        <f aca="false">IFERROR(VALUE(TRIM(LEFT($E55,SEARCH("x",$E55)-1))),"")</f>
        <v>0</v>
      </c>
      <c r="AB55" s="44" t="n">
        <f aca="false">IFERROR(VALUE(TRIM(MID($E55,SEARCH("x",$E55)+1,10))),"")</f>
        <v>3</v>
      </c>
      <c r="AC55" s="45" t="str">
        <f aca="false">IF(OR($AA55="",$AB55=""),"",IF($AA55&gt;$AB55,"A",IF($AA55&lt;$AB55,"B","E")))</f>
        <v>B</v>
      </c>
      <c r="AD55" s="53"/>
    </row>
    <row r="56" customFormat="false" ht="15.75" hidden="false" customHeight="true" outlineLevel="0" collapsed="false">
      <c r="A56" s="56" t="n">
        <v>46198</v>
      </c>
      <c r="B56" s="57" t="s">
        <v>123</v>
      </c>
      <c r="C56" s="58" t="str">
        <f aca="false">TRIM(LEFT(B56,FIND(" x ",B56)-1))</f>
        <v>Turquia</v>
      </c>
      <c r="D56" s="58" t="str">
        <f aca="false">TRIM(MID(B56,FIND(" x ",B56)+3,100))</f>
        <v>Estados Unidos</v>
      </c>
      <c r="E56" s="30" t="s">
        <v>105</v>
      </c>
      <c r="F56" s="22"/>
      <c r="G56" s="113" t="s">
        <v>45</v>
      </c>
      <c r="H56" s="114" t="s">
        <v>45</v>
      </c>
      <c r="I56" s="114" t="s">
        <v>45</v>
      </c>
      <c r="J56" s="114" t="s">
        <v>45</v>
      </c>
      <c r="K56" s="114" t="s">
        <v>45</v>
      </c>
      <c r="L56" s="114" t="s">
        <v>45</v>
      </c>
      <c r="M56" s="114" t="s">
        <v>45</v>
      </c>
      <c r="N56" s="114" t="s">
        <v>45</v>
      </c>
      <c r="O56" s="114" t="s">
        <v>45</v>
      </c>
      <c r="P56" s="114" t="s">
        <v>45</v>
      </c>
      <c r="Q56" s="114" t="s">
        <v>45</v>
      </c>
      <c r="R56" s="114" t="s">
        <v>45</v>
      </c>
      <c r="S56" s="114" t="s">
        <v>45</v>
      </c>
      <c r="T56" s="114" t="s">
        <v>46</v>
      </c>
      <c r="U56" s="114" t="s">
        <v>45</v>
      </c>
      <c r="V56" s="114" t="s">
        <v>45</v>
      </c>
      <c r="W56" s="114" t="s">
        <v>45</v>
      </c>
      <c r="X56" s="114" t="s">
        <v>45</v>
      </c>
      <c r="Y56" s="114" t="s">
        <v>45</v>
      </c>
      <c r="Z56" s="114" t="s">
        <v>45</v>
      </c>
      <c r="AA56" s="43" t="n">
        <f aca="false">IFERROR(VALUE(TRIM(LEFT($E56,SEARCH("x",$E56)-1))),"")</f>
        <v>3</v>
      </c>
      <c r="AB56" s="44" t="n">
        <f aca="false">IFERROR(VALUE(TRIM(MID($E56,SEARCH("x",$E56)+1,10))),"")</f>
        <v>2</v>
      </c>
      <c r="AC56" s="45" t="str">
        <f aca="false">IF(OR($AA56="",$AB56=""),"",IF($AA56&gt;$AB56,"A",IF($AA56&lt;$AB56,"B","E")))</f>
        <v>A</v>
      </c>
      <c r="AD56" s="53"/>
    </row>
    <row r="57" customFormat="false" ht="15.75" hidden="false" customHeight="true" outlineLevel="0" collapsed="false">
      <c r="A57" s="56"/>
      <c r="B57" s="62" t="s">
        <v>124</v>
      </c>
      <c r="C57" s="63" t="str">
        <f aca="false">TRIM(LEFT(B57,FIND(" x ",B57)-1))</f>
        <v>Paraguai</v>
      </c>
      <c r="D57" s="63" t="str">
        <f aca="false">TRIM(MID(B57,FIND(" x ",B57)+3,100))</f>
        <v>Austrália</v>
      </c>
      <c r="E57" s="64" t="s">
        <v>69</v>
      </c>
      <c r="F57" s="22"/>
      <c r="G57" s="111" t="s">
        <v>45</v>
      </c>
      <c r="H57" s="80" t="s">
        <v>44</v>
      </c>
      <c r="I57" s="80" t="s">
        <v>46</v>
      </c>
      <c r="J57" s="80" t="s">
        <v>46</v>
      </c>
      <c r="K57" s="80" t="s">
        <v>44</v>
      </c>
      <c r="L57" s="80" t="s">
        <v>44</v>
      </c>
      <c r="M57" s="80" t="s">
        <v>44</v>
      </c>
      <c r="N57" s="80" t="s">
        <v>46</v>
      </c>
      <c r="O57" s="80" t="s">
        <v>44</v>
      </c>
      <c r="P57" s="80" t="s">
        <v>45</v>
      </c>
      <c r="Q57" s="80" t="s">
        <v>44</v>
      </c>
      <c r="R57" s="80" t="s">
        <v>46</v>
      </c>
      <c r="S57" s="80" t="s">
        <v>46</v>
      </c>
      <c r="T57" s="80" t="s">
        <v>46</v>
      </c>
      <c r="U57" s="80" t="s">
        <v>44</v>
      </c>
      <c r="V57" s="80" t="s">
        <v>44</v>
      </c>
      <c r="W57" s="80" t="s">
        <v>44</v>
      </c>
      <c r="X57" s="80" t="s">
        <v>44</v>
      </c>
      <c r="Y57" s="80" t="s">
        <v>46</v>
      </c>
      <c r="Z57" s="80" t="s">
        <v>46</v>
      </c>
      <c r="AA57" s="43" t="n">
        <f aca="false">IFERROR(VALUE(TRIM(LEFT($E57,SEARCH("x",$E57)-1))),"")</f>
        <v>0</v>
      </c>
      <c r="AB57" s="44" t="n">
        <f aca="false">IFERROR(VALUE(TRIM(MID($E57,SEARCH("x",$E57)+1,10))),"")</f>
        <v>0</v>
      </c>
      <c r="AC57" s="45" t="str">
        <f aca="false">IF(OR($AA57="",$AB57=""),"",IF($AA57&gt;$AB57,"A",IF($AA57&lt;$AB57,"B","E")))</f>
        <v>E</v>
      </c>
      <c r="AD57" s="53"/>
    </row>
    <row r="58" customFormat="false" ht="15.75" hidden="false" customHeight="true" outlineLevel="0" collapsed="false">
      <c r="A58" s="56"/>
      <c r="B58" s="67" t="s">
        <v>125</v>
      </c>
      <c r="C58" s="68" t="str">
        <f aca="false">TRIM(LEFT(B58,FIND(" x ",B58)-1))</f>
        <v>Curaçao</v>
      </c>
      <c r="D58" s="68" t="str">
        <f aca="false">TRIM(MID(B58,FIND(" x ",B58)+3,100))</f>
        <v>Costa do Marfim</v>
      </c>
      <c r="E58" s="69" t="s">
        <v>126</v>
      </c>
      <c r="F58" s="22"/>
      <c r="G58" s="111" t="s">
        <v>45</v>
      </c>
      <c r="H58" s="80" t="s">
        <v>45</v>
      </c>
      <c r="I58" s="80" t="s">
        <v>45</v>
      </c>
      <c r="J58" s="80" t="s">
        <v>45</v>
      </c>
      <c r="K58" s="80" t="s">
        <v>45</v>
      </c>
      <c r="L58" s="80" t="s">
        <v>45</v>
      </c>
      <c r="M58" s="80" t="s">
        <v>45</v>
      </c>
      <c r="N58" s="80" t="s">
        <v>45</v>
      </c>
      <c r="O58" s="80" t="s">
        <v>45</v>
      </c>
      <c r="P58" s="80" t="s">
        <v>45</v>
      </c>
      <c r="Q58" s="80" t="s">
        <v>46</v>
      </c>
      <c r="R58" s="80" t="s">
        <v>45</v>
      </c>
      <c r="S58" s="80" t="s">
        <v>45</v>
      </c>
      <c r="T58" s="80" t="s">
        <v>45</v>
      </c>
      <c r="U58" s="80" t="s">
        <v>45</v>
      </c>
      <c r="V58" s="80" t="s">
        <v>45</v>
      </c>
      <c r="W58" s="80" t="s">
        <v>46</v>
      </c>
      <c r="X58" s="80" t="s">
        <v>45</v>
      </c>
      <c r="Y58" s="80" t="s">
        <v>45</v>
      </c>
      <c r="Z58" s="80" t="s">
        <v>46</v>
      </c>
      <c r="AA58" s="43" t="n">
        <f aca="false">IFERROR(VALUE(TRIM(LEFT($E58,SEARCH("x",$E58)-1))),"")</f>
        <v>0</v>
      </c>
      <c r="AB58" s="44" t="n">
        <f aca="false">IFERROR(VALUE(TRIM(MID($E58,SEARCH("x",$E58)+1,10))),"")</f>
        <v>2</v>
      </c>
      <c r="AC58" s="45" t="str">
        <f aca="false">IF(OR($AA58="",$AB58=""),"",IF($AA58&gt;$AB58,"A",IF($AA58&lt;$AB58,"B","E")))</f>
        <v>B</v>
      </c>
      <c r="AD58" s="53"/>
    </row>
    <row r="59" customFormat="false" ht="15.75" hidden="false" customHeight="true" outlineLevel="0" collapsed="false">
      <c r="A59" s="56"/>
      <c r="B59" s="67" t="s">
        <v>127</v>
      </c>
      <c r="C59" s="68" t="str">
        <f aca="false">TRIM(LEFT(B59,FIND(" x ",B59)-1))</f>
        <v>Equador</v>
      </c>
      <c r="D59" s="68" t="str">
        <f aca="false">TRIM(MID(B59,FIND(" x ",B59)+3,100))</f>
        <v>Alemanha</v>
      </c>
      <c r="E59" s="69" t="s">
        <v>48</v>
      </c>
      <c r="F59" s="22"/>
      <c r="G59" s="111" t="s">
        <v>45</v>
      </c>
      <c r="H59" s="80" t="s">
        <v>45</v>
      </c>
      <c r="I59" s="80" t="s">
        <v>45</v>
      </c>
      <c r="J59" s="80" t="s">
        <v>45</v>
      </c>
      <c r="K59" s="80" t="s">
        <v>45</v>
      </c>
      <c r="L59" s="80" t="s">
        <v>45</v>
      </c>
      <c r="M59" s="80" t="s">
        <v>45</v>
      </c>
      <c r="N59" s="80" t="s">
        <v>45</v>
      </c>
      <c r="O59" s="80" t="s">
        <v>45</v>
      </c>
      <c r="P59" s="80" t="s">
        <v>45</v>
      </c>
      <c r="Q59" s="80" t="s">
        <v>45</v>
      </c>
      <c r="R59" s="80" t="s">
        <v>44</v>
      </c>
      <c r="S59" s="80" t="s">
        <v>45</v>
      </c>
      <c r="T59" s="80" t="s">
        <v>45</v>
      </c>
      <c r="U59" s="80" t="s">
        <v>45</v>
      </c>
      <c r="V59" s="80" t="s">
        <v>45</v>
      </c>
      <c r="W59" s="80" t="s">
        <v>45</v>
      </c>
      <c r="X59" s="80" t="s">
        <v>45</v>
      </c>
      <c r="Y59" s="80" t="s">
        <v>45</v>
      </c>
      <c r="Z59" s="80" t="s">
        <v>45</v>
      </c>
      <c r="AA59" s="43" t="n">
        <f aca="false">IFERROR(VALUE(TRIM(LEFT($E59,SEARCH("x",$E59)-1))),"")</f>
        <v>2</v>
      </c>
      <c r="AB59" s="44" t="n">
        <f aca="false">IFERROR(VALUE(TRIM(MID($E59,SEARCH("x",$E59)+1,10))),"")</f>
        <v>1</v>
      </c>
      <c r="AC59" s="45" t="str">
        <f aca="false">IF(OR($AA59="",$AB59=""),"",IF($AA59&gt;$AB59,"A",IF($AA59&lt;$AB59,"B","E")))</f>
        <v>A</v>
      </c>
      <c r="AD59" s="53"/>
    </row>
    <row r="60" customFormat="false" ht="15.75" hidden="false" customHeight="true" outlineLevel="0" collapsed="false">
      <c r="A60" s="56"/>
      <c r="B60" s="67" t="s">
        <v>128</v>
      </c>
      <c r="C60" s="68" t="str">
        <f aca="false">TRIM(LEFT(B60,FIND(" x ",B60)-1))</f>
        <v>Tunísia</v>
      </c>
      <c r="D60" s="68" t="str">
        <f aca="false">TRIM(MID(B60,FIND(" x ",B60)+3,100))</f>
        <v>Países Baixos</v>
      </c>
      <c r="E60" s="69" t="s">
        <v>80</v>
      </c>
      <c r="F60" s="22"/>
      <c r="G60" s="112" t="s">
        <v>45</v>
      </c>
      <c r="H60" s="71" t="s">
        <v>45</v>
      </c>
      <c r="I60" s="71" t="s">
        <v>45</v>
      </c>
      <c r="J60" s="71" t="s">
        <v>45</v>
      </c>
      <c r="K60" s="71" t="s">
        <v>45</v>
      </c>
      <c r="L60" s="71" t="s">
        <v>45</v>
      </c>
      <c r="M60" s="71" t="s">
        <v>45</v>
      </c>
      <c r="N60" s="71" t="s">
        <v>45</v>
      </c>
      <c r="O60" s="71" t="s">
        <v>45</v>
      </c>
      <c r="P60" s="71" t="s">
        <v>45</v>
      </c>
      <c r="Q60" s="71" t="s">
        <v>45</v>
      </c>
      <c r="R60" s="71" t="s">
        <v>45</v>
      </c>
      <c r="S60" s="71" t="s">
        <v>45</v>
      </c>
      <c r="T60" s="71" t="s">
        <v>45</v>
      </c>
      <c r="U60" s="71" t="s">
        <v>45</v>
      </c>
      <c r="V60" s="71" t="s">
        <v>45</v>
      </c>
      <c r="W60" s="71" t="s">
        <v>45</v>
      </c>
      <c r="X60" s="71" t="s">
        <v>45</v>
      </c>
      <c r="Y60" s="71" t="s">
        <v>45</v>
      </c>
      <c r="Z60" s="71" t="s">
        <v>45</v>
      </c>
      <c r="AA60" s="43" t="n">
        <f aca="false">IFERROR(VALUE(TRIM(LEFT($E60,SEARCH("x",$E60)-1))),"")</f>
        <v>1</v>
      </c>
      <c r="AB60" s="44" t="n">
        <f aca="false">IFERROR(VALUE(TRIM(MID($E60,SEARCH("x",$E60)+1,10))),"")</f>
        <v>3</v>
      </c>
      <c r="AC60" s="45" t="str">
        <f aca="false">IF(OR($AA60="",$AB60=""),"",IF($AA60&gt;$AB60,"A",IF($AA60&lt;$AB60,"B","E")))</f>
        <v>B</v>
      </c>
      <c r="AD60" s="53"/>
    </row>
    <row r="61" customFormat="false" ht="15.75" hidden="false" customHeight="true" outlineLevel="0" collapsed="false">
      <c r="A61" s="56"/>
      <c r="B61" s="73" t="s">
        <v>129</v>
      </c>
      <c r="C61" s="74" t="str">
        <f aca="false">TRIM(LEFT(B61,FIND(" x ",B61)-1))</f>
        <v>Japão</v>
      </c>
      <c r="D61" s="74" t="str">
        <f aca="false">TRIM(MID(B61,FIND(" x ",B61)+3,100))</f>
        <v>Suécia</v>
      </c>
      <c r="E61" s="30" t="s">
        <v>50</v>
      </c>
      <c r="F61" s="22"/>
      <c r="G61" s="115" t="s">
        <v>44</v>
      </c>
      <c r="H61" s="41" t="s">
        <v>44</v>
      </c>
      <c r="I61" s="41" t="s">
        <v>44</v>
      </c>
      <c r="J61" s="41" t="s">
        <v>44</v>
      </c>
      <c r="K61" s="41" t="s">
        <v>44</v>
      </c>
      <c r="L61" s="41" t="s">
        <v>44</v>
      </c>
      <c r="M61" s="41" t="s">
        <v>44</v>
      </c>
      <c r="N61" s="41" t="s">
        <v>44</v>
      </c>
      <c r="O61" s="41" t="s">
        <v>44</v>
      </c>
      <c r="P61" s="41" t="s">
        <v>44</v>
      </c>
      <c r="Q61" s="41" t="s">
        <v>44</v>
      </c>
      <c r="R61" s="41" t="s">
        <v>44</v>
      </c>
      <c r="S61" s="41" t="s">
        <v>44</v>
      </c>
      <c r="T61" s="41" t="s">
        <v>46</v>
      </c>
      <c r="U61" s="41" t="s">
        <v>44</v>
      </c>
      <c r="V61" s="41" t="s">
        <v>44</v>
      </c>
      <c r="W61" s="41" t="s">
        <v>45</v>
      </c>
      <c r="X61" s="41" t="s">
        <v>44</v>
      </c>
      <c r="Y61" s="41" t="s">
        <v>44</v>
      </c>
      <c r="Z61" s="41" t="s">
        <v>44</v>
      </c>
      <c r="AA61" s="43" t="n">
        <f aca="false">IFERROR(VALUE(TRIM(LEFT($E61,SEARCH("x",$E61)-1))),"")</f>
        <v>1</v>
      </c>
      <c r="AB61" s="44" t="n">
        <f aca="false">IFERROR(VALUE(TRIM(MID($E61,SEARCH("x",$E61)+1,10))),"")</f>
        <v>1</v>
      </c>
      <c r="AC61" s="45" t="str">
        <f aca="false">IF(OR($AA61="",$AB61=""),"",IF($AA61&gt;$AB61,"A",IF($AA61&lt;$AB61,"B","E")))</f>
        <v>E</v>
      </c>
      <c r="AD61" s="53"/>
    </row>
    <row r="62" customFormat="false" ht="15.75" hidden="false" customHeight="true" outlineLevel="0" collapsed="false">
      <c r="A62" s="76" t="n">
        <v>46199</v>
      </c>
      <c r="B62" s="47" t="s">
        <v>130</v>
      </c>
      <c r="C62" s="48" t="str">
        <f aca="false">TRIM(LEFT(B62,FIND(" x ",B62)-1))</f>
        <v>Nova Zelândia</v>
      </c>
      <c r="D62" s="48" t="str">
        <f aca="false">TRIM(MID(B62,FIND(" x ",B62)+3,100))</f>
        <v>Bélgica</v>
      </c>
      <c r="E62" s="49" t="s">
        <v>131</v>
      </c>
      <c r="F62" s="22"/>
      <c r="G62" s="110" t="s">
        <v>45</v>
      </c>
      <c r="H62" s="60" t="s">
        <v>46</v>
      </c>
      <c r="I62" s="60" t="s">
        <v>45</v>
      </c>
      <c r="J62" s="60" t="s">
        <v>45</v>
      </c>
      <c r="K62" s="60" t="s">
        <v>45</v>
      </c>
      <c r="L62" s="60" t="s">
        <v>45</v>
      </c>
      <c r="M62" s="60" t="s">
        <v>45</v>
      </c>
      <c r="N62" s="60" t="s">
        <v>45</v>
      </c>
      <c r="O62" s="60" t="s">
        <v>45</v>
      </c>
      <c r="P62" s="60" t="s">
        <v>45</v>
      </c>
      <c r="Q62" s="60" t="s">
        <v>45</v>
      </c>
      <c r="R62" s="60" t="s">
        <v>46</v>
      </c>
      <c r="S62" s="60" t="s">
        <v>45</v>
      </c>
      <c r="T62" s="60" t="s">
        <v>45</v>
      </c>
      <c r="U62" s="60" t="s">
        <v>45</v>
      </c>
      <c r="V62" s="60" t="s">
        <v>45</v>
      </c>
      <c r="W62" s="60" t="s">
        <v>45</v>
      </c>
      <c r="X62" s="60" t="s">
        <v>45</v>
      </c>
      <c r="Y62" s="60" t="s">
        <v>45</v>
      </c>
      <c r="Z62" s="60" t="s">
        <v>45</v>
      </c>
      <c r="AA62" s="43" t="n">
        <f aca="false">IFERROR(VALUE(TRIM(LEFT($E62,SEARCH("x",$E62)-1))),"")</f>
        <v>1</v>
      </c>
      <c r="AB62" s="44" t="n">
        <f aca="false">IFERROR(VALUE(TRIM(MID($E62,SEARCH("x",$E62)+1,10))),"")</f>
        <v>5</v>
      </c>
      <c r="AC62" s="45" t="str">
        <f aca="false">IF(OR($AA62="",$AB62=""),"",IF($AA62&gt;$AB62,"A",IF($AA62&lt;$AB62,"B","E")))</f>
        <v>B</v>
      </c>
      <c r="AD62" s="53"/>
    </row>
    <row r="63" customFormat="false" ht="15.75" hidden="false" customHeight="true" outlineLevel="0" collapsed="false">
      <c r="A63" s="76"/>
      <c r="B63" s="77" t="s">
        <v>132</v>
      </c>
      <c r="C63" s="78" t="str">
        <f aca="false">TRIM(LEFT(B63,FIND(" x ",B63)-1))</f>
        <v>Egito</v>
      </c>
      <c r="D63" s="78" t="str">
        <f aca="false">TRIM(MID(B63,FIND(" x ",B63)+3,100))</f>
        <v>Irã</v>
      </c>
      <c r="E63" s="79" t="s">
        <v>50</v>
      </c>
      <c r="F63" s="22"/>
      <c r="G63" s="111" t="s">
        <v>44</v>
      </c>
      <c r="H63" s="80" t="s">
        <v>44</v>
      </c>
      <c r="I63" s="80" t="s">
        <v>44</v>
      </c>
      <c r="J63" s="80" t="s">
        <v>44</v>
      </c>
      <c r="K63" s="80" t="s">
        <v>44</v>
      </c>
      <c r="L63" s="80" t="s">
        <v>44</v>
      </c>
      <c r="M63" s="80" t="s">
        <v>44</v>
      </c>
      <c r="N63" s="80" t="s">
        <v>44</v>
      </c>
      <c r="O63" s="80" t="s">
        <v>44</v>
      </c>
      <c r="P63" s="80" t="s">
        <v>44</v>
      </c>
      <c r="Q63" s="80" t="s">
        <v>46</v>
      </c>
      <c r="R63" s="80" t="s">
        <v>46</v>
      </c>
      <c r="S63" s="80" t="s">
        <v>46</v>
      </c>
      <c r="T63" s="80" t="s">
        <v>44</v>
      </c>
      <c r="U63" s="80" t="s">
        <v>44</v>
      </c>
      <c r="V63" s="80" t="s">
        <v>44</v>
      </c>
      <c r="W63" s="80" t="s">
        <v>44</v>
      </c>
      <c r="X63" s="80" t="s">
        <v>46</v>
      </c>
      <c r="Y63" s="80" t="s">
        <v>44</v>
      </c>
      <c r="Z63" s="80" t="s">
        <v>44</v>
      </c>
      <c r="AA63" s="43" t="n">
        <f aca="false">IFERROR(VALUE(TRIM(LEFT($E63,SEARCH("x",$E63)-1))),"")</f>
        <v>1</v>
      </c>
      <c r="AB63" s="44" t="n">
        <f aca="false">IFERROR(VALUE(TRIM(MID($E63,SEARCH("x",$E63)+1,10))),"")</f>
        <v>1</v>
      </c>
      <c r="AC63" s="45" t="str">
        <f aca="false">IF(OR($AA63="",$AB63=""),"",IF($AA63&gt;$AB63,"A",IF($AA63&lt;$AB63,"B","E")))</f>
        <v>E</v>
      </c>
      <c r="AD63" s="53"/>
    </row>
    <row r="64" customFormat="false" ht="15.75" hidden="false" customHeight="true" outlineLevel="0" collapsed="false">
      <c r="A64" s="76"/>
      <c r="B64" s="82" t="s">
        <v>133</v>
      </c>
      <c r="C64" s="83" t="str">
        <f aca="false">TRIM(LEFT(B64,FIND(" x ",B64)-1))</f>
        <v>Cabo Verde</v>
      </c>
      <c r="D64" s="83" t="str">
        <f aca="false">TRIM(MID(B64,FIND(" x ",B64)+3,100))</f>
        <v>Arábia Saudita</v>
      </c>
      <c r="E64" s="84" t="s">
        <v>69</v>
      </c>
      <c r="F64" s="22"/>
      <c r="G64" s="111" t="s">
        <v>44</v>
      </c>
      <c r="H64" s="80" t="s">
        <v>46</v>
      </c>
      <c r="I64" s="80" t="s">
        <v>44</v>
      </c>
      <c r="J64" s="80" t="s">
        <v>46</v>
      </c>
      <c r="K64" s="80" t="s">
        <v>46</v>
      </c>
      <c r="L64" s="80" t="s">
        <v>44</v>
      </c>
      <c r="M64" s="80" t="s">
        <v>45</v>
      </c>
      <c r="N64" s="80" t="s">
        <v>44</v>
      </c>
      <c r="O64" s="80" t="s">
        <v>45</v>
      </c>
      <c r="P64" s="80" t="s">
        <v>44</v>
      </c>
      <c r="Q64" s="80" t="s">
        <v>45</v>
      </c>
      <c r="R64" s="80" t="s">
        <v>46</v>
      </c>
      <c r="S64" s="80" t="s">
        <v>44</v>
      </c>
      <c r="T64" s="80" t="s">
        <v>45</v>
      </c>
      <c r="U64" s="80" t="s">
        <v>44</v>
      </c>
      <c r="V64" s="80" t="s">
        <v>45</v>
      </c>
      <c r="W64" s="80" t="s">
        <v>46</v>
      </c>
      <c r="X64" s="80" t="s">
        <v>44</v>
      </c>
      <c r="Y64" s="80" t="s">
        <v>44</v>
      </c>
      <c r="Z64" s="80" t="s">
        <v>44</v>
      </c>
      <c r="AA64" s="43" t="n">
        <f aca="false">IFERROR(VALUE(TRIM(LEFT($E64,SEARCH("x",$E64)-1))),"")</f>
        <v>0</v>
      </c>
      <c r="AB64" s="44" t="n">
        <f aca="false">IFERROR(VALUE(TRIM(MID($E64,SEARCH("x",$E64)+1,10))),"")</f>
        <v>0</v>
      </c>
      <c r="AC64" s="45" t="str">
        <f aca="false">IF(OR($AA64="",$AB64=""),"",IF($AA64&gt;$AB64,"A",IF($AA64&lt;$AB64,"B","E")))</f>
        <v>E</v>
      </c>
      <c r="AD64" s="53"/>
    </row>
    <row r="65" customFormat="false" ht="15.75" hidden="false" customHeight="true" outlineLevel="0" collapsed="false">
      <c r="A65" s="76"/>
      <c r="B65" s="82" t="s">
        <v>134</v>
      </c>
      <c r="C65" s="83" t="str">
        <f aca="false">TRIM(LEFT(B65,FIND(" x ",B65)-1))</f>
        <v>Uruguai</v>
      </c>
      <c r="D65" s="83" t="str">
        <f aca="false">TRIM(MID(B65,FIND(" x ",B65)+3,100))</f>
        <v>Espanha</v>
      </c>
      <c r="E65" s="84" t="s">
        <v>56</v>
      </c>
      <c r="F65" s="22"/>
      <c r="G65" s="111" t="s">
        <v>44</v>
      </c>
      <c r="H65" s="80" t="s">
        <v>45</v>
      </c>
      <c r="I65" s="80" t="s">
        <v>45</v>
      </c>
      <c r="J65" s="80" t="s">
        <v>45</v>
      </c>
      <c r="K65" s="80" t="s">
        <v>45</v>
      </c>
      <c r="L65" s="80" t="s">
        <v>45</v>
      </c>
      <c r="M65" s="80" t="s">
        <v>45</v>
      </c>
      <c r="N65" s="80" t="s">
        <v>45</v>
      </c>
      <c r="O65" s="80" t="s">
        <v>46</v>
      </c>
      <c r="P65" s="80" t="s">
        <v>45</v>
      </c>
      <c r="Q65" s="80" t="s">
        <v>45</v>
      </c>
      <c r="R65" s="80" t="s">
        <v>46</v>
      </c>
      <c r="S65" s="80" t="s">
        <v>46</v>
      </c>
      <c r="T65" s="80" t="s">
        <v>46</v>
      </c>
      <c r="U65" s="80" t="s">
        <v>45</v>
      </c>
      <c r="V65" s="80" t="s">
        <v>45</v>
      </c>
      <c r="W65" s="80" t="s">
        <v>44</v>
      </c>
      <c r="X65" s="80" t="s">
        <v>44</v>
      </c>
      <c r="Y65" s="80" t="s">
        <v>46</v>
      </c>
      <c r="Z65" s="80" t="s">
        <v>44</v>
      </c>
      <c r="AA65" s="43" t="n">
        <f aca="false">IFERROR(VALUE(TRIM(LEFT($E65,SEARCH("x",$E65)-1))),"")</f>
        <v>0</v>
      </c>
      <c r="AB65" s="44" t="n">
        <f aca="false">IFERROR(VALUE(TRIM(MID($E65,SEARCH("x",$E65)+1,10))),"")</f>
        <v>1</v>
      </c>
      <c r="AC65" s="45" t="str">
        <f aca="false">IF(OR($AA65="",$AB65=""),"",IF($AA65&gt;$AB65,"A",IF($AA65&lt;$AB65,"B","E")))</f>
        <v>B</v>
      </c>
      <c r="AD65" s="53"/>
    </row>
    <row r="66" customFormat="false" ht="15.75" hidden="false" customHeight="true" outlineLevel="0" collapsed="false">
      <c r="A66" s="76"/>
      <c r="B66" s="82" t="s">
        <v>135</v>
      </c>
      <c r="C66" s="83" t="str">
        <f aca="false">TRIM(LEFT(B66,FIND(" x ",B66)-1))</f>
        <v>Noruega</v>
      </c>
      <c r="D66" s="83" t="str">
        <f aca="false">TRIM(MID(B66,FIND(" x ",B66)+3,100))</f>
        <v>França</v>
      </c>
      <c r="E66" s="84" t="s">
        <v>74</v>
      </c>
      <c r="F66" s="22"/>
      <c r="G66" s="112" t="s">
        <v>45</v>
      </c>
      <c r="H66" s="71" t="s">
        <v>45</v>
      </c>
      <c r="I66" s="71" t="s">
        <v>45</v>
      </c>
      <c r="J66" s="71" t="s">
        <v>45</v>
      </c>
      <c r="K66" s="71" t="s">
        <v>46</v>
      </c>
      <c r="L66" s="71" t="s">
        <v>45</v>
      </c>
      <c r="M66" s="71" t="s">
        <v>45</v>
      </c>
      <c r="N66" s="71" t="s">
        <v>45</v>
      </c>
      <c r="O66" s="71" t="s">
        <v>45</v>
      </c>
      <c r="P66" s="71" t="s">
        <v>44</v>
      </c>
      <c r="Q66" s="71" t="s">
        <v>45</v>
      </c>
      <c r="R66" s="71" t="s">
        <v>45</v>
      </c>
      <c r="S66" s="71" t="s">
        <v>45</v>
      </c>
      <c r="T66" s="71" t="s">
        <v>45</v>
      </c>
      <c r="U66" s="71" t="s">
        <v>45</v>
      </c>
      <c r="V66" s="71" t="s">
        <v>45</v>
      </c>
      <c r="W66" s="71" t="s">
        <v>44</v>
      </c>
      <c r="X66" s="71" t="s">
        <v>45</v>
      </c>
      <c r="Y66" s="71" t="s">
        <v>44</v>
      </c>
      <c r="Z66" s="71" t="s">
        <v>44</v>
      </c>
      <c r="AA66" s="43" t="n">
        <f aca="false">IFERROR(VALUE(TRIM(LEFT($E66,SEARCH("x",$E66)-1))),"")</f>
        <v>1</v>
      </c>
      <c r="AB66" s="44" t="n">
        <f aca="false">IFERROR(VALUE(TRIM(MID($E66,SEARCH("x",$E66)+1,10))),"")</f>
        <v>4</v>
      </c>
      <c r="AC66" s="45" t="str">
        <f aca="false">IF(OR($AA66="",$AB66=""),"",IF($AA66&gt;$AB66,"A",IF($AA66&lt;$AB66,"B","E")))</f>
        <v>B</v>
      </c>
      <c r="AD66" s="53"/>
    </row>
    <row r="67" customFormat="false" ht="15.75" hidden="false" customHeight="true" outlineLevel="0" collapsed="false">
      <c r="A67" s="76"/>
      <c r="B67" s="85" t="s">
        <v>136</v>
      </c>
      <c r="C67" s="86" t="str">
        <f aca="false">TRIM(LEFT(B67,FIND(" x ",B67)-1))</f>
        <v>Senegal</v>
      </c>
      <c r="D67" s="86" t="str">
        <f aca="false">TRIM(MID(B67,FIND(" x ",B67)+3,100))</f>
        <v>Iraque</v>
      </c>
      <c r="E67" s="87" t="s">
        <v>110</v>
      </c>
      <c r="F67" s="22"/>
      <c r="G67" s="115" t="s">
        <v>44</v>
      </c>
      <c r="H67" s="41" t="s">
        <v>44</v>
      </c>
      <c r="I67" s="41" t="s">
        <v>44</v>
      </c>
      <c r="J67" s="41" t="s">
        <v>44</v>
      </c>
      <c r="K67" s="41" t="s">
        <v>44</v>
      </c>
      <c r="L67" s="41" t="s">
        <v>44</v>
      </c>
      <c r="M67" s="41" t="s">
        <v>44</v>
      </c>
      <c r="N67" s="41" t="s">
        <v>44</v>
      </c>
      <c r="O67" s="41" t="s">
        <v>44</v>
      </c>
      <c r="P67" s="41" t="s">
        <v>44</v>
      </c>
      <c r="Q67" s="41" t="s">
        <v>45</v>
      </c>
      <c r="R67" s="41" t="s">
        <v>46</v>
      </c>
      <c r="S67" s="41" t="s">
        <v>44</v>
      </c>
      <c r="T67" s="41" t="s">
        <v>44</v>
      </c>
      <c r="U67" s="41" t="s">
        <v>44</v>
      </c>
      <c r="V67" s="41" t="s">
        <v>44</v>
      </c>
      <c r="W67" s="41" t="s">
        <v>44</v>
      </c>
      <c r="X67" s="41" t="s">
        <v>44</v>
      </c>
      <c r="Y67" s="41" t="s">
        <v>44</v>
      </c>
      <c r="Z67" s="41" t="s">
        <v>44</v>
      </c>
      <c r="AA67" s="43" t="n">
        <f aca="false">IFERROR(VALUE(TRIM(LEFT($E67,SEARCH("x",$E67)-1))),"")</f>
        <v>5</v>
      </c>
      <c r="AB67" s="44" t="n">
        <f aca="false">IFERROR(VALUE(TRIM(MID($E67,SEARCH("x",$E67)+1,10))),"")</f>
        <v>0</v>
      </c>
      <c r="AC67" s="45" t="str">
        <f aca="false">IF(OR($AA67="",$AB67=""),"",IF($AA67&gt;$AB67,"A",IF($AA67&lt;$AB67,"B","E")))</f>
        <v>A</v>
      </c>
      <c r="AD67" s="53"/>
    </row>
    <row r="68" customFormat="false" ht="15.75" hidden="false" customHeight="true" outlineLevel="0" collapsed="false">
      <c r="A68" s="116" t="n">
        <v>46200</v>
      </c>
      <c r="B68" s="57" t="s">
        <v>137</v>
      </c>
      <c r="C68" s="58" t="str">
        <f aca="false">TRIM(LEFT(B68,FIND(" x ",B68)-1))</f>
        <v>Argélia</v>
      </c>
      <c r="D68" s="58" t="str">
        <f aca="false">TRIM(MID(B68,FIND(" x ",B68)+3,100))</f>
        <v>Áustria</v>
      </c>
      <c r="E68" s="30" t="s">
        <v>138</v>
      </c>
      <c r="F68" s="22"/>
      <c r="G68" s="110" t="s">
        <v>46</v>
      </c>
      <c r="H68" s="60" t="s">
        <v>44</v>
      </c>
      <c r="I68" s="60" t="s">
        <v>45</v>
      </c>
      <c r="J68" s="60" t="s">
        <v>45</v>
      </c>
      <c r="K68" s="60" t="s">
        <v>45</v>
      </c>
      <c r="L68" s="60" t="s">
        <v>45</v>
      </c>
      <c r="M68" s="60" t="s">
        <v>44</v>
      </c>
      <c r="N68" s="60" t="s">
        <v>45</v>
      </c>
      <c r="O68" s="60" t="s">
        <v>45</v>
      </c>
      <c r="P68" s="60" t="s">
        <v>45</v>
      </c>
      <c r="Q68" s="60" t="s">
        <v>45</v>
      </c>
      <c r="R68" s="60" t="s">
        <v>45</v>
      </c>
      <c r="S68" s="60" t="s">
        <v>45</v>
      </c>
      <c r="T68" s="60" t="s">
        <v>45</v>
      </c>
      <c r="U68" s="60" t="s">
        <v>45</v>
      </c>
      <c r="V68" s="60" t="s">
        <v>45</v>
      </c>
      <c r="W68" s="60" t="s">
        <v>46</v>
      </c>
      <c r="X68" s="60" t="s">
        <v>44</v>
      </c>
      <c r="Y68" s="60" t="s">
        <v>44</v>
      </c>
      <c r="Z68" s="60"/>
      <c r="AA68" s="43" t="n">
        <f aca="false">IFERROR(VALUE(TRIM(LEFT($E68,SEARCH("x",$E68)-1))),"")</f>
        <v>3</v>
      </c>
      <c r="AB68" s="44" t="n">
        <f aca="false">IFERROR(VALUE(TRIM(MID($E68,SEARCH("x",$E68)+1,10))),"")</f>
        <v>3</v>
      </c>
      <c r="AC68" s="45" t="str">
        <f aca="false">IF(OR($AA68="",$AB68=""),"",IF($AA68&gt;$AB68,"A",IF($AA68&lt;$AB68,"B","E")))</f>
        <v>E</v>
      </c>
      <c r="AD68" s="53"/>
    </row>
    <row r="69" customFormat="false" ht="15.75" hidden="false" customHeight="true" outlineLevel="0" collapsed="false">
      <c r="A69" s="116"/>
      <c r="B69" s="62" t="s">
        <v>139</v>
      </c>
      <c r="C69" s="63" t="str">
        <f aca="false">TRIM(LEFT(B69,FIND(" x ",B69)-1))</f>
        <v>Jordânia</v>
      </c>
      <c r="D69" s="63" t="str">
        <f aca="false">TRIM(MID(B69,FIND(" x ",B69)+3,100))</f>
        <v>Argentina</v>
      </c>
      <c r="E69" s="64" t="s">
        <v>80</v>
      </c>
      <c r="F69" s="22"/>
      <c r="G69" s="111" t="s">
        <v>45</v>
      </c>
      <c r="H69" s="80" t="s">
        <v>45</v>
      </c>
      <c r="I69" s="80" t="s">
        <v>45</v>
      </c>
      <c r="J69" s="80" t="s">
        <v>45</v>
      </c>
      <c r="K69" s="80" t="s">
        <v>45</v>
      </c>
      <c r="L69" s="80" t="s">
        <v>45</v>
      </c>
      <c r="M69" s="80" t="s">
        <v>45</v>
      </c>
      <c r="N69" s="80" t="s">
        <v>45</v>
      </c>
      <c r="O69" s="80" t="s">
        <v>45</v>
      </c>
      <c r="P69" s="80" t="s">
        <v>45</v>
      </c>
      <c r="Q69" s="80" t="s">
        <v>45</v>
      </c>
      <c r="R69" s="80" t="s">
        <v>45</v>
      </c>
      <c r="S69" s="80" t="s">
        <v>45</v>
      </c>
      <c r="T69" s="80" t="s">
        <v>45</v>
      </c>
      <c r="U69" s="80" t="s">
        <v>45</v>
      </c>
      <c r="V69" s="80" t="s">
        <v>45</v>
      </c>
      <c r="W69" s="80" t="s">
        <v>45</v>
      </c>
      <c r="X69" s="80" t="s">
        <v>45</v>
      </c>
      <c r="Y69" s="80" t="s">
        <v>45</v>
      </c>
      <c r="Z69" s="80" t="s">
        <v>45</v>
      </c>
      <c r="AA69" s="43" t="n">
        <f aca="false">IFERROR(VALUE(TRIM(LEFT($E69,SEARCH("x",$E69)-1))),"")</f>
        <v>1</v>
      </c>
      <c r="AB69" s="44" t="n">
        <f aca="false">IFERROR(VALUE(TRIM(MID($E69,SEARCH("x",$E69)+1,10))),"")</f>
        <v>3</v>
      </c>
      <c r="AC69" s="45" t="str">
        <f aca="false">IF(OR($AA69="",$AB69=""),"",IF($AA69&gt;$AB69,"A",IF($AA69&lt;$AB69,"B","E")))</f>
        <v>B</v>
      </c>
      <c r="AD69" s="53"/>
    </row>
    <row r="70" customFormat="false" ht="15.75" hidden="false" customHeight="true" outlineLevel="0" collapsed="false">
      <c r="A70" s="116"/>
      <c r="B70" s="67" t="s">
        <v>140</v>
      </c>
      <c r="C70" s="68" t="str">
        <f aca="false">TRIM(LEFT(B70,FIND(" x ",B70)-1))</f>
        <v>Colômbia</v>
      </c>
      <c r="D70" s="68" t="str">
        <f aca="false">TRIM(MID(B70,FIND(" x ",B70)+3,100))</f>
        <v>Portugal</v>
      </c>
      <c r="E70" s="69" t="s">
        <v>69</v>
      </c>
      <c r="F70" s="22"/>
      <c r="G70" s="111" t="s">
        <v>45</v>
      </c>
      <c r="H70" s="80" t="s">
        <v>46</v>
      </c>
      <c r="I70" s="80" t="s">
        <v>45</v>
      </c>
      <c r="J70" s="80" t="s">
        <v>45</v>
      </c>
      <c r="K70" s="80" t="s">
        <v>45</v>
      </c>
      <c r="L70" s="80" t="s">
        <v>45</v>
      </c>
      <c r="M70" s="80" t="s">
        <v>45</v>
      </c>
      <c r="N70" s="80" t="s">
        <v>45</v>
      </c>
      <c r="O70" s="80" t="s">
        <v>45</v>
      </c>
      <c r="P70" s="80" t="s">
        <v>44</v>
      </c>
      <c r="Q70" s="80" t="s">
        <v>45</v>
      </c>
      <c r="R70" s="80" t="s">
        <v>45</v>
      </c>
      <c r="S70" s="80" t="s">
        <v>45</v>
      </c>
      <c r="T70" s="80" t="s">
        <v>46</v>
      </c>
      <c r="U70" s="80" t="s">
        <v>45</v>
      </c>
      <c r="V70" s="80" t="s">
        <v>45</v>
      </c>
      <c r="W70" s="80" t="s">
        <v>44</v>
      </c>
      <c r="X70" s="80" t="s">
        <v>44</v>
      </c>
      <c r="Y70" s="80" t="s">
        <v>45</v>
      </c>
      <c r="Z70" s="80" t="s">
        <v>45</v>
      </c>
      <c r="AA70" s="43" t="n">
        <f aca="false">IFERROR(VALUE(TRIM(LEFT($E70,SEARCH("x",$E70)-1))),"")</f>
        <v>0</v>
      </c>
      <c r="AB70" s="44" t="n">
        <f aca="false">IFERROR(VALUE(TRIM(MID($E70,SEARCH("x",$E70)+1,10))),"")</f>
        <v>0</v>
      </c>
      <c r="AC70" s="45" t="str">
        <f aca="false">IF(OR($AA70="",$AB70=""),"",IF($AA70&gt;$AB70,"A",IF($AA70&lt;$AB70,"B","E")))</f>
        <v>E</v>
      </c>
      <c r="AD70" s="53"/>
    </row>
    <row r="71" customFormat="false" ht="15.75" hidden="false" customHeight="true" outlineLevel="0" collapsed="false">
      <c r="A71" s="116"/>
      <c r="B71" s="67" t="s">
        <v>141</v>
      </c>
      <c r="C71" s="68" t="str">
        <f aca="false">TRIM(LEFT(B71,FIND(" x ",B71)-1))</f>
        <v>Rep. Dem. Congo</v>
      </c>
      <c r="D71" s="68" t="str">
        <f aca="false">TRIM(MID(B71,FIND(" x ",B71)+3,100))</f>
        <v>Uzbequistão</v>
      </c>
      <c r="E71" s="69" t="s">
        <v>72</v>
      </c>
      <c r="F71" s="22"/>
      <c r="G71" s="111" t="s">
        <v>44</v>
      </c>
      <c r="H71" s="80" t="s">
        <v>44</v>
      </c>
      <c r="I71" s="80" t="s">
        <v>44</v>
      </c>
      <c r="J71" s="80" t="s">
        <v>44</v>
      </c>
      <c r="K71" s="80" t="s">
        <v>44</v>
      </c>
      <c r="L71" s="80" t="s">
        <v>44</v>
      </c>
      <c r="M71" s="80" t="s">
        <v>44</v>
      </c>
      <c r="N71" s="80" t="s">
        <v>44</v>
      </c>
      <c r="O71" s="80" t="s">
        <v>44</v>
      </c>
      <c r="P71" s="80" t="s">
        <v>44</v>
      </c>
      <c r="Q71" s="80" t="s">
        <v>44</v>
      </c>
      <c r="R71" s="80" t="s">
        <v>46</v>
      </c>
      <c r="S71" s="80" t="s">
        <v>46</v>
      </c>
      <c r="T71" s="80" t="s">
        <v>46</v>
      </c>
      <c r="U71" s="80" t="s">
        <v>44</v>
      </c>
      <c r="V71" s="80" t="s">
        <v>44</v>
      </c>
      <c r="W71" s="80" t="s">
        <v>44</v>
      </c>
      <c r="X71" s="80" t="s">
        <v>44</v>
      </c>
      <c r="Y71" s="80" t="s">
        <v>44</v>
      </c>
      <c r="Z71" s="80" t="s">
        <v>46</v>
      </c>
      <c r="AA71" s="43" t="n">
        <f aca="false">IFERROR(VALUE(TRIM(LEFT($E71,SEARCH("x",$E71)-1))),"")</f>
        <v>3</v>
      </c>
      <c r="AB71" s="44" t="n">
        <f aca="false">IFERROR(VALUE(TRIM(MID($E71,SEARCH("x",$E71)+1,10))),"")</f>
        <v>1</v>
      </c>
      <c r="AC71" s="45" t="str">
        <f aca="false">IF(OR($AA71="",$AB71=""),"",IF($AA71&gt;$AB71,"A",IF($AA71&lt;$AB71,"B","E")))</f>
        <v>A</v>
      </c>
      <c r="AD71" s="53"/>
    </row>
    <row r="72" customFormat="false" ht="15.75" hidden="false" customHeight="true" outlineLevel="0" collapsed="false">
      <c r="A72" s="116"/>
      <c r="B72" s="67" t="s">
        <v>142</v>
      </c>
      <c r="C72" s="68" t="str">
        <f aca="false">TRIM(LEFT(B72,FIND(" x ",B72)-1))</f>
        <v>Panamá</v>
      </c>
      <c r="D72" s="68" t="str">
        <f aca="false">TRIM(MID(B72,FIND(" x ",B72)+3,100))</f>
        <v>Inglaterra</v>
      </c>
      <c r="E72" s="69" t="s">
        <v>126</v>
      </c>
      <c r="F72" s="22"/>
      <c r="G72" s="112" t="s">
        <v>45</v>
      </c>
      <c r="H72" s="71" t="s">
        <v>45</v>
      </c>
      <c r="I72" s="71" t="s">
        <v>45</v>
      </c>
      <c r="J72" s="71" t="s">
        <v>45</v>
      </c>
      <c r="K72" s="71" t="s">
        <v>45</v>
      </c>
      <c r="L72" s="71" t="s">
        <v>45</v>
      </c>
      <c r="M72" s="71" t="s">
        <v>45</v>
      </c>
      <c r="N72" s="71" t="s">
        <v>45</v>
      </c>
      <c r="O72" s="71" t="s">
        <v>45</v>
      </c>
      <c r="P72" s="71" t="s">
        <v>45</v>
      </c>
      <c r="Q72" s="71" t="s">
        <v>45</v>
      </c>
      <c r="R72" s="71" t="s">
        <v>45</v>
      </c>
      <c r="S72" s="71" t="s">
        <v>45</v>
      </c>
      <c r="T72" s="71" t="s">
        <v>45</v>
      </c>
      <c r="U72" s="71" t="s">
        <v>45</v>
      </c>
      <c r="V72" s="71" t="s">
        <v>45</v>
      </c>
      <c r="W72" s="71" t="s">
        <v>45</v>
      </c>
      <c r="X72" s="71" t="s">
        <v>45</v>
      </c>
      <c r="Y72" s="71" t="s">
        <v>45</v>
      </c>
      <c r="Z72" s="71" t="s">
        <v>45</v>
      </c>
      <c r="AA72" s="43" t="n">
        <f aca="false">IFERROR(VALUE(TRIM(LEFT($E72,SEARCH("x",$E72)-1))),"")</f>
        <v>0</v>
      </c>
      <c r="AB72" s="44" t="n">
        <f aca="false">IFERROR(VALUE(TRIM(MID($E72,SEARCH("x",$E72)+1,10))),"")</f>
        <v>2</v>
      </c>
      <c r="AC72" s="45" t="str">
        <f aca="false">IF(OR($AA72="",$AB72=""),"",IF($AA72&gt;$AB72,"A",IF($AA72&lt;$AB72,"B","E")))</f>
        <v>B</v>
      </c>
      <c r="AD72" s="53"/>
    </row>
    <row r="73" customFormat="false" ht="15.75" hidden="false" customHeight="true" outlineLevel="0" collapsed="false">
      <c r="A73" s="116"/>
      <c r="B73" s="117" t="s">
        <v>143</v>
      </c>
      <c r="C73" s="118" t="str">
        <f aca="false">TRIM(LEFT(B73,FIND(" x ",B73)-1))</f>
        <v>Croácia</v>
      </c>
      <c r="D73" s="118" t="str">
        <f aca="false">TRIM(MID(B73,FIND(" x ",B73)+3,100))</f>
        <v>Gana</v>
      </c>
      <c r="E73" s="119" t="s">
        <v>48</v>
      </c>
      <c r="F73" s="22"/>
      <c r="G73" s="115" t="s">
        <v>44</v>
      </c>
      <c r="H73" s="41" t="s">
        <v>45</v>
      </c>
      <c r="I73" s="41" t="s">
        <v>44</v>
      </c>
      <c r="J73" s="41" t="s">
        <v>46</v>
      </c>
      <c r="K73" s="41" t="s">
        <v>46</v>
      </c>
      <c r="L73" s="41" t="s">
        <v>45</v>
      </c>
      <c r="M73" s="41" t="s">
        <v>44</v>
      </c>
      <c r="N73" s="41" t="s">
        <v>44</v>
      </c>
      <c r="O73" s="41" t="s">
        <v>45</v>
      </c>
      <c r="P73" s="41" t="s">
        <v>45</v>
      </c>
      <c r="Q73" s="41" t="s">
        <v>44</v>
      </c>
      <c r="R73" s="41" t="s">
        <v>45</v>
      </c>
      <c r="S73" s="41" t="s">
        <v>44</v>
      </c>
      <c r="T73" s="41" t="s">
        <v>46</v>
      </c>
      <c r="U73" s="41" t="s">
        <v>45</v>
      </c>
      <c r="V73" s="41"/>
      <c r="W73" s="41" t="s">
        <v>45</v>
      </c>
      <c r="X73" s="41" t="s">
        <v>44</v>
      </c>
      <c r="Y73" s="41" t="s">
        <v>44</v>
      </c>
      <c r="Z73" s="41" t="s">
        <v>46</v>
      </c>
      <c r="AA73" s="43" t="n">
        <f aca="false">IFERROR(VALUE(TRIM(LEFT($E73,SEARCH("x",$E73)-1))),"")</f>
        <v>2</v>
      </c>
      <c r="AB73" s="44" t="n">
        <f aca="false">IFERROR(VALUE(TRIM(MID($E73,SEARCH("x",$E73)+1,10))),"")</f>
        <v>1</v>
      </c>
      <c r="AC73" s="120" t="str">
        <f aca="false">IF(OR($AA73="",$AB73=""),"",IF($AA73&gt;$AB73,"A",IF($AA73&lt;$AB73,"B","E")))</f>
        <v>A</v>
      </c>
      <c r="AD73" s="53"/>
    </row>
    <row r="74" customFormat="false" ht="15.75" hidden="false" customHeight="true" outlineLevel="0" collapsed="false">
      <c r="F74" s="121" t="s">
        <v>144</v>
      </c>
      <c r="G74" s="122" t="n">
        <f aca="false" t="array" ref="G74:G74">SUMPRODUCT(--(UPPER(G2:G73)=$AC$2:$AC$73),--($AC$2:$AC$73&lt;&gt;""))</f>
        <v>42</v>
      </c>
      <c r="H74" s="122" t="n">
        <f aca="false" t="array" ref="H74:H74">SUMPRODUCT(--(UPPER(H2:H73)=$AC$2:$AC$73),--($AC$2:$AC$73&lt;&gt;""))</f>
        <v>42</v>
      </c>
      <c r="I74" s="122" t="n">
        <f aca="false" t="array" ref="I74:I74">SUMPRODUCT(--(UPPER(I2:I73)=$AC$2:$AC$73),--($AC$2:$AC$73&lt;&gt;""))</f>
        <v>42</v>
      </c>
      <c r="J74" s="122" t="n">
        <f aca="false" t="array" ref="J74:J74">SUMPRODUCT(--(UPPER(J2:J73)=$AC$2:$AC$73),--($AC$2:$AC$73&lt;&gt;""))</f>
        <v>44</v>
      </c>
      <c r="K74" s="122" t="n">
        <f aca="false" t="array" ref="K74:K74">SUMPRODUCT(--(UPPER(K2:K73)=$AC$2:$AC$73),--($AC$2:$AC$73&lt;&gt;""))</f>
        <v>40</v>
      </c>
      <c r="L74" s="122" t="n">
        <f aca="false" t="array" ref="L74:L74">SUMPRODUCT(--(UPPER(L2:L73)=$AC$2:$AC$73),--($AC$2:$AC$73&lt;&gt;""))</f>
        <v>40</v>
      </c>
      <c r="M74" s="122" t="n">
        <f aca="false" t="array" ref="M74:M74">SUMPRODUCT(--(UPPER(M2:M73)=$AC$2:$AC$73),--($AC$2:$AC$73&lt;&gt;""))</f>
        <v>44</v>
      </c>
      <c r="N74" s="122" t="n">
        <f aca="false" t="array" ref="N74:N74">SUMPRODUCT(--(UPPER(N2:N73)=$AC$2:$AC$73),--($AC$2:$AC$73&lt;&gt;""))</f>
        <v>47</v>
      </c>
      <c r="O74" s="122" t="n">
        <f aca="false" t="array" ref="O74:O74">SUMPRODUCT(--(UPPER(O2:O73)=$AC$2:$AC$73),--($AC$2:$AC$73&lt;&gt;""))</f>
        <v>38</v>
      </c>
      <c r="P74" s="122" t="n">
        <f aca="false" t="array" ref="P74:P74">SUMPRODUCT(--(UPPER(P2:P73)=$AC$2:$AC$73),--($AC$2:$AC$73&lt;&gt;""))</f>
        <v>42</v>
      </c>
      <c r="Q74" s="122" t="n">
        <f aca="false" t="array" ref="Q74:Q74">SUMPRODUCT(--(UPPER(Q2:Q73)=$AC$2:$AC$73),--($AC$2:$AC$73&lt;&gt;""))</f>
        <v>39</v>
      </c>
      <c r="R74" s="122" t="n">
        <f aca="false" t="array" ref="R74:R74">SUMPRODUCT(--(UPPER(R2:R73)=$AC$2:$AC$73),--($AC$2:$AC$73&lt;&gt;""))</f>
        <v>37</v>
      </c>
      <c r="S74" s="122" t="n">
        <f aca="false" t="array" ref="S74:S74">SUMPRODUCT(--(UPPER(S2:S73)=$AC$2:$AC$73),--($AC$2:$AC$73&lt;&gt;""))</f>
        <v>35</v>
      </c>
      <c r="T74" s="122" t="n">
        <f aca="false" t="array" ref="T74:T74">SUMPRODUCT(--(UPPER(T2:T73)=$AC$2:$AC$73),--($AC$2:$AC$73&lt;&gt;""))</f>
        <v>36</v>
      </c>
      <c r="U74" s="122" t="n">
        <f aca="false" t="array" ref="U74:U74">SUMPRODUCT(--(UPPER(U2:U73)=$AC$2:$AC$73),--($AC$2:$AC$73&lt;&gt;""))</f>
        <v>41</v>
      </c>
      <c r="V74" s="122" t="n">
        <f aca="false" t="array" ref="V74:V74">SUMPRODUCT(--(UPPER(V2:V73)=$AC$2:$AC$73),--($AC$2:$AC$73&lt;&gt;""))</f>
        <v>38</v>
      </c>
      <c r="W74" s="122" t="n">
        <f aca="false" t="array" ref="W74:W74">SUMPRODUCT(--(UPPER(W2:W73)=$AC$2:$AC$73),--($AC$2:$AC$73&lt;&gt;""))</f>
        <v>41</v>
      </c>
      <c r="X74" s="122" t="n">
        <f aca="false" t="array" ref="X74:X74">SUMPRODUCT(--(UPPER(X2:X73)=$AC$2:$AC$73),--($AC$2:$AC$73&lt;&gt;""))</f>
        <v>38</v>
      </c>
      <c r="Y74" s="122" t="n">
        <f aca="false" t="array" ref="Y74:Y74">SUMPRODUCT(--(UPPER(Y2:Y73)=$AC$2:$AC$73),--($AC$2:$AC$73&lt;&gt;""))</f>
        <v>39</v>
      </c>
      <c r="Z74" s="122" t="n">
        <f aca="false" t="array" ref="Z74:Z74">SUMPRODUCT(--(UPPER(Z2:Z73)=$AC$2:$AC$73),--($AC$2:$AC$73&lt;&gt;""))</f>
        <v>33</v>
      </c>
    </row>
  </sheetData>
  <mergeCells count="18"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  <mergeCell ref="A62:A67"/>
    <mergeCell ref="A68:A73"/>
  </mergeCells>
  <conditionalFormatting sqref="G50">
    <cfRule type="expression" priority="2" aboveAverage="0" equalAverage="0" bottom="0" percent="0" rank="0" text="" dxfId="8">
      <formula>AND($AC50&lt;&gt;"",G50=$AC50)</formula>
    </cfRule>
    <cfRule type="expression" priority="3" aboveAverage="0" equalAverage="0" bottom="0" percent="0" rank="0" text="" dxfId="9">
      <formula>AND($AC50&lt;&gt;"",G50&lt;&gt;"",G50&lt;&gt;$AC50)</formula>
    </cfRule>
  </conditionalFormatting>
  <conditionalFormatting sqref="G2:Z37 G38:U39 W38:Z39 V39 G40:Z49 H50:Z51 G51:Z73">
    <cfRule type="expression" priority="4" aboveAverage="0" equalAverage="0" bottom="0" percent="0" rank="0" text="" dxfId="10">
      <formula>AND($AC2&lt;&gt;"",G2=$AC2)</formula>
    </cfRule>
    <cfRule type="expression" priority="5" aboveAverage="0" equalAverage="0" bottom="0" percent="0" rank="0" text="" dxfId="11">
      <formula>AND($AC2&lt;&gt;"",G2&lt;&gt;"",G2&lt;&gt;$AC2)</formula>
    </cfRule>
  </conditionalFormatting>
  <conditionalFormatting sqref="V38">
    <cfRule type="expression" priority="6" aboveAverage="0" equalAverage="0" bottom="0" percent="0" rank="0" text="" dxfId="12">
      <formula>AND($AC39&lt;&gt;"",V38=$AC39)</formula>
    </cfRule>
    <cfRule type="expression" priority="7" aboveAverage="0" equalAverage="0" bottom="0" percent="0" rank="0" text="" dxfId="13">
      <formula>AND($AC39&lt;&gt;"",V38&lt;&gt;"",V38&lt;&gt;$AC39)</formula>
    </cfRule>
  </conditionalFormatting>
  <dataValidations count="1">
    <dataValidation allowBlank="true" errorStyle="stop" operator="between" showDropDown="false" showErrorMessage="true" showInputMessage="true" sqref="G2:Z38 G39:U50 W39:Z39 V40:Z50 G52:Z73" type="list">
      <formula1>"A,B,E"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8" activeCellId="0" sqref="E18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32.43"/>
    <col collapsed="false" customWidth="true" hidden="false" outlineLevel="0" max="4" min="3" style="0" width="20.57"/>
    <col collapsed="false" customWidth="true" hidden="false" outlineLevel="0" max="6" min="5" style="0" width="12.57"/>
    <col collapsed="false" customWidth="true" hidden="false" outlineLevel="0" max="7" min="7" style="0" width="14.29"/>
    <col collapsed="false" customWidth="true" hidden="false" outlineLevel="0" max="8" min="8" style="0" width="6"/>
    <col collapsed="false" customWidth="true" hidden="false" outlineLevel="0" max="31" min="9" style="0" width="16.43"/>
  </cols>
  <sheetData>
    <row r="1" customFormat="false" ht="16.5" hidden="false" customHeight="true" outlineLevel="0" collapsed="false">
      <c r="A1" s="123" t="s">
        <v>30</v>
      </c>
      <c r="B1" s="19" t="s">
        <v>31</v>
      </c>
      <c r="C1" s="20" t="s">
        <v>32</v>
      </c>
      <c r="D1" s="20" t="s">
        <v>33</v>
      </c>
      <c r="E1" s="21" t="s">
        <v>34</v>
      </c>
      <c r="F1" s="124" t="s">
        <v>145</v>
      </c>
      <c r="G1" s="125" t="s">
        <v>146</v>
      </c>
      <c r="H1" s="126"/>
      <c r="I1" s="24" t="s">
        <v>3</v>
      </c>
      <c r="J1" s="127" t="s">
        <v>5</v>
      </c>
      <c r="K1" s="24" t="s">
        <v>6</v>
      </c>
      <c r="L1" s="24" t="s">
        <v>35</v>
      </c>
      <c r="M1" s="24" t="s">
        <v>7</v>
      </c>
      <c r="N1" s="24" t="s">
        <v>36</v>
      </c>
      <c r="O1" s="24" t="s">
        <v>8</v>
      </c>
      <c r="P1" s="24" t="s">
        <v>9</v>
      </c>
      <c r="Q1" s="24" t="s">
        <v>18</v>
      </c>
      <c r="R1" s="24" t="s">
        <v>10</v>
      </c>
      <c r="S1" s="24" t="s">
        <v>37</v>
      </c>
      <c r="T1" s="24" t="s">
        <v>11</v>
      </c>
      <c r="U1" s="24" t="s">
        <v>12</v>
      </c>
      <c r="V1" s="24" t="s">
        <v>13</v>
      </c>
      <c r="W1" s="24" t="s">
        <v>38</v>
      </c>
      <c r="X1" s="24" t="s">
        <v>14</v>
      </c>
      <c r="Y1" s="24" t="s">
        <v>15</v>
      </c>
      <c r="Z1" s="24" t="s">
        <v>16</v>
      </c>
      <c r="AA1" s="24" t="s">
        <v>17</v>
      </c>
      <c r="AB1" s="24" t="s">
        <v>19</v>
      </c>
      <c r="AC1" s="128" t="s">
        <v>39</v>
      </c>
      <c r="AD1" s="129" t="s">
        <v>40</v>
      </c>
      <c r="AE1" s="26" t="s">
        <v>41</v>
      </c>
    </row>
    <row r="2" customFormat="false" ht="15.75" hidden="false" customHeight="true" outlineLevel="0" collapsed="false">
      <c r="A2" s="130" t="n">
        <v>46201</v>
      </c>
      <c r="B2" s="131" t="s">
        <v>147</v>
      </c>
      <c r="C2" s="132" t="str">
        <f aca="false">TRIM(LEFT(B2,FIND(" x ",B2)-1))</f>
        <v>África do Sul</v>
      </c>
      <c r="D2" s="132" t="str">
        <f aca="false">TRIM(MID(B2,FIND(" x ",B2)+3,100))</f>
        <v>Canadá</v>
      </c>
      <c r="E2" s="133" t="s">
        <v>56</v>
      </c>
      <c r="F2" s="134"/>
      <c r="G2" s="135"/>
      <c r="H2" s="136"/>
      <c r="I2" s="137" t="s">
        <v>45</v>
      </c>
      <c r="J2" s="138" t="s">
        <v>44</v>
      </c>
      <c r="K2" s="137" t="s">
        <v>45</v>
      </c>
      <c r="L2" s="137" t="s">
        <v>44</v>
      </c>
      <c r="M2" s="137" t="s">
        <v>46</v>
      </c>
      <c r="N2" s="137" t="s">
        <v>45</v>
      </c>
      <c r="O2" s="137" t="s">
        <v>45</v>
      </c>
      <c r="P2" s="137" t="s">
        <v>45</v>
      </c>
      <c r="Q2" s="137" t="s">
        <v>45</v>
      </c>
      <c r="R2" s="137" t="s">
        <v>45</v>
      </c>
      <c r="S2" s="137" t="s">
        <v>44</v>
      </c>
      <c r="T2" s="137"/>
      <c r="U2" s="137" t="s">
        <v>45</v>
      </c>
      <c r="V2" s="137" t="s">
        <v>45</v>
      </c>
      <c r="W2" s="137" t="s">
        <v>45</v>
      </c>
      <c r="X2" s="137" t="s">
        <v>45</v>
      </c>
      <c r="Y2" s="137"/>
      <c r="Z2" s="137" t="s">
        <v>44</v>
      </c>
      <c r="AA2" s="137" t="s">
        <v>45</v>
      </c>
      <c r="AB2" s="137"/>
      <c r="AC2" s="139" t="n">
        <f aca="false">IFERROR(VALUE(TRIM(LEFT($E2,SEARCH("x",$E2)-1))),"")</f>
        <v>0</v>
      </c>
      <c r="AD2" s="44" t="n">
        <f aca="false">IFERROR(VALUE(TRIM(MID($E2,SEARCH("x",$E2)+1,10))),"")</f>
        <v>1</v>
      </c>
      <c r="AE2" s="120" t="str">
        <f aca="false">IF(OR($AC2="",$AD2=""),"",IF($AC2&gt;$AD2,"A",IF($AC2&lt;$AD2,"B","E")))</f>
        <v>B</v>
      </c>
    </row>
    <row r="3" customFormat="false" ht="15.75" hidden="false" customHeight="true" outlineLevel="0" collapsed="false">
      <c r="A3" s="140" t="n">
        <v>46202</v>
      </c>
      <c r="B3" s="141" t="s">
        <v>148</v>
      </c>
      <c r="C3" s="63" t="str">
        <f aca="false">TRIM(LEFT(B3,FIND(" x ",B3)-1))</f>
        <v>Alemanha</v>
      </c>
      <c r="D3" s="63" t="str">
        <f aca="false">TRIM(MID(B3,FIND(" x ",B3)+3,100))</f>
        <v>Paraguai</v>
      </c>
      <c r="E3" s="133" t="s">
        <v>50</v>
      </c>
      <c r="F3" s="134" t="s">
        <v>45</v>
      </c>
      <c r="G3" s="135"/>
      <c r="H3" s="142"/>
      <c r="I3" s="60" t="s">
        <v>44</v>
      </c>
      <c r="J3" s="110" t="s">
        <v>44</v>
      </c>
      <c r="K3" s="60" t="s">
        <v>44</v>
      </c>
      <c r="L3" s="60" t="s">
        <v>44</v>
      </c>
      <c r="M3" s="60" t="s">
        <v>44</v>
      </c>
      <c r="N3" s="60" t="s">
        <v>44</v>
      </c>
      <c r="O3" s="60" t="s">
        <v>44</v>
      </c>
      <c r="P3" s="60" t="s">
        <v>44</v>
      </c>
      <c r="Q3" s="60" t="s">
        <v>44</v>
      </c>
      <c r="R3" s="60" t="s">
        <v>44</v>
      </c>
      <c r="S3" s="60" t="s">
        <v>44</v>
      </c>
      <c r="T3" s="60" t="s">
        <v>44</v>
      </c>
      <c r="U3" s="60" t="s">
        <v>44</v>
      </c>
      <c r="V3" s="60" t="s">
        <v>44</v>
      </c>
      <c r="W3" s="60" t="s">
        <v>44</v>
      </c>
      <c r="X3" s="60" t="s">
        <v>44</v>
      </c>
      <c r="Y3" s="60" t="s">
        <v>44</v>
      </c>
      <c r="Z3" s="60" t="s">
        <v>45</v>
      </c>
      <c r="AA3" s="60" t="s">
        <v>44</v>
      </c>
      <c r="AB3" s="60" t="s">
        <v>44</v>
      </c>
      <c r="AC3" s="143" t="n">
        <f aca="false">IFERROR(VALUE(TRIM(LEFT($E3,SEARCH("x",$E3)-1))),"")</f>
        <v>1</v>
      </c>
      <c r="AD3" s="144" t="n">
        <f aca="false">IFERROR(VALUE(TRIM(MID($E3,SEARCH("x",$E3)+1,10))),"")</f>
        <v>1</v>
      </c>
      <c r="AE3" s="145" t="str">
        <f aca="false">IF(OR($AC3="",$AD3=""),"",IF($AC3&gt;$AD3,"A",IF($AC3&lt;$AD3,"B","E")))</f>
        <v>E</v>
      </c>
    </row>
    <row r="4" customFormat="false" ht="15.75" hidden="false" customHeight="true" outlineLevel="0" collapsed="false">
      <c r="A4" s="140"/>
      <c r="B4" s="28" t="s">
        <v>149</v>
      </c>
      <c r="C4" s="29" t="str">
        <f aca="false">TRIM(LEFT(B4,FIND(" x ",B4)-1))</f>
        <v>Países Baixos</v>
      </c>
      <c r="D4" s="29" t="str">
        <f aca="false">TRIM(MID(B4,FIND(" x ",B4)+3,100))</f>
        <v>Marrocos</v>
      </c>
      <c r="E4" s="146" t="s">
        <v>50</v>
      </c>
      <c r="F4" s="134" t="s">
        <v>45</v>
      </c>
      <c r="G4" s="135"/>
      <c r="H4" s="142"/>
      <c r="I4" s="80" t="s">
        <v>44</v>
      </c>
      <c r="J4" s="111" t="s">
        <v>45</v>
      </c>
      <c r="K4" s="80" t="s">
        <v>44</v>
      </c>
      <c r="L4" s="80" t="s">
        <v>44</v>
      </c>
      <c r="M4" s="80" t="s">
        <v>44</v>
      </c>
      <c r="N4" s="80" t="s">
        <v>44</v>
      </c>
      <c r="O4" s="80" t="s">
        <v>44</v>
      </c>
      <c r="P4" s="80" t="s">
        <v>44</v>
      </c>
      <c r="Q4" s="80" t="s">
        <v>46</v>
      </c>
      <c r="R4" s="80" t="s">
        <v>45</v>
      </c>
      <c r="S4" s="80" t="s">
        <v>45</v>
      </c>
      <c r="T4" s="80" t="s">
        <v>45</v>
      </c>
      <c r="U4" s="80" t="s">
        <v>44</v>
      </c>
      <c r="V4" s="80" t="s">
        <v>46</v>
      </c>
      <c r="W4" s="80" t="s">
        <v>44</v>
      </c>
      <c r="X4" s="80" t="s">
        <v>44</v>
      </c>
      <c r="Y4" s="80" t="s">
        <v>44</v>
      </c>
      <c r="Z4" s="80" t="s">
        <v>44</v>
      </c>
      <c r="AA4" s="80" t="s">
        <v>44</v>
      </c>
      <c r="AB4" s="80" t="s">
        <v>44</v>
      </c>
      <c r="AC4" s="147" t="n">
        <f aca="false">IFERROR(VALUE(TRIM(LEFT($E4,SEARCH("x",$E4)-1))),"")</f>
        <v>1</v>
      </c>
      <c r="AD4" s="148" t="n">
        <f aca="false">IFERROR(VALUE(TRIM(MID($E4,SEARCH("x",$E4)+1,10))),"")</f>
        <v>1</v>
      </c>
      <c r="AE4" s="149" t="str">
        <f aca="false">IF(OR($AC4="",$AD4=""),"",IF($AC4&gt;$AD4,"A",IF($AC4&lt;$AD4,"B","E")))</f>
        <v>E</v>
      </c>
    </row>
    <row r="5" customFormat="false" ht="15.75" hidden="false" customHeight="true" outlineLevel="0" collapsed="false">
      <c r="A5" s="140"/>
      <c r="B5" s="131" t="s">
        <v>150</v>
      </c>
      <c r="C5" s="132" t="str">
        <f aca="false">TRIM(LEFT(B5,FIND(" x ",B5)-1))</f>
        <v>Brasil</v>
      </c>
      <c r="D5" s="132" t="str">
        <f aca="false">TRIM(MID(B5,FIND(" x ",B5)+3,100))</f>
        <v>Japão</v>
      </c>
      <c r="E5" s="146" t="s">
        <v>48</v>
      </c>
      <c r="F5" s="134"/>
      <c r="G5" s="135"/>
      <c r="H5" s="136"/>
      <c r="I5" s="41" t="s">
        <v>44</v>
      </c>
      <c r="J5" s="115" t="s">
        <v>44</v>
      </c>
      <c r="K5" s="41" t="s">
        <v>44</v>
      </c>
      <c r="L5" s="41" t="s">
        <v>44</v>
      </c>
      <c r="M5" s="41" t="s">
        <v>44</v>
      </c>
      <c r="N5" s="41" t="s">
        <v>44</v>
      </c>
      <c r="O5" s="41" t="s">
        <v>44</v>
      </c>
      <c r="P5" s="41" t="s">
        <v>44</v>
      </c>
      <c r="Q5" s="41" t="s">
        <v>44</v>
      </c>
      <c r="R5" s="41" t="s">
        <v>44</v>
      </c>
      <c r="S5" s="41" t="s">
        <v>44</v>
      </c>
      <c r="T5" s="41" t="s">
        <v>44</v>
      </c>
      <c r="U5" s="41" t="s">
        <v>44</v>
      </c>
      <c r="V5" s="41" t="s">
        <v>44</v>
      </c>
      <c r="W5" s="41" t="s">
        <v>44</v>
      </c>
      <c r="X5" s="41" t="s">
        <v>44</v>
      </c>
      <c r="Y5" s="41" t="s">
        <v>44</v>
      </c>
      <c r="Z5" s="41" t="s">
        <v>44</v>
      </c>
      <c r="AA5" s="41" t="s">
        <v>44</v>
      </c>
      <c r="AB5" s="41" t="s">
        <v>44</v>
      </c>
      <c r="AC5" s="150" t="n">
        <f aca="false">IFERROR(VALUE(TRIM(LEFT($E5,SEARCH("x",$E5)-1))),"")</f>
        <v>2</v>
      </c>
      <c r="AD5" s="151" t="n">
        <f aca="false">IFERROR(VALUE(TRIM(MID($E5,SEARCH("x",$E5)+1,10))),"")</f>
        <v>1</v>
      </c>
      <c r="AE5" s="152" t="str">
        <f aca="false">IF(OR($AC5="",$AD5=""),"",IF($AC5&gt;$AD5,"A",IF($AC5&lt;$AD5,"B","E")))</f>
        <v>A</v>
      </c>
    </row>
    <row r="6" customFormat="false" ht="15.75" hidden="false" customHeight="true" outlineLevel="0" collapsed="false">
      <c r="A6" s="140" t="n">
        <v>46203</v>
      </c>
      <c r="B6" s="141" t="s">
        <v>151</v>
      </c>
      <c r="C6" s="63" t="str">
        <f aca="false">TRIM(LEFT(B6,FIND(" x ",B6)-1))</f>
        <v>França</v>
      </c>
      <c r="D6" s="63" t="str">
        <f aca="false">TRIM(MID(B6,FIND(" x ",B6)+3,100))</f>
        <v>Suécia</v>
      </c>
      <c r="E6" s="133" t="s">
        <v>152</v>
      </c>
      <c r="F6" s="134"/>
      <c r="G6" s="135"/>
      <c r="H6" s="142"/>
      <c r="I6" s="60" t="s">
        <v>44</v>
      </c>
      <c r="J6" s="110" t="s">
        <v>44</v>
      </c>
      <c r="K6" s="60" t="s">
        <v>44</v>
      </c>
      <c r="L6" s="60" t="s">
        <v>44</v>
      </c>
      <c r="M6" s="60" t="s">
        <v>44</v>
      </c>
      <c r="N6" s="60" t="s">
        <v>44</v>
      </c>
      <c r="O6" s="60" t="s">
        <v>44</v>
      </c>
      <c r="P6" s="60" t="s">
        <v>44</v>
      </c>
      <c r="Q6" s="60" t="s">
        <v>44</v>
      </c>
      <c r="R6" s="60" t="s">
        <v>44</v>
      </c>
      <c r="S6" s="60" t="s">
        <v>44</v>
      </c>
      <c r="T6" s="60" t="s">
        <v>44</v>
      </c>
      <c r="U6" s="60" t="s">
        <v>44</v>
      </c>
      <c r="V6" s="60" t="s">
        <v>44</v>
      </c>
      <c r="W6" s="60" t="s">
        <v>44</v>
      </c>
      <c r="X6" s="60" t="s">
        <v>44</v>
      </c>
      <c r="Y6" s="60" t="s">
        <v>44</v>
      </c>
      <c r="Z6" s="60" t="s">
        <v>44</v>
      </c>
      <c r="AA6" s="60" t="s">
        <v>44</v>
      </c>
      <c r="AB6" s="60" t="s">
        <v>44</v>
      </c>
      <c r="AC6" s="143" t="n">
        <f aca="false">IFERROR(VALUE(TRIM(LEFT($E6,SEARCH("x",$E6)-1))),"")</f>
        <v>3</v>
      </c>
      <c r="AD6" s="144" t="n">
        <f aca="false">IFERROR(VALUE(TRIM(MID($E6,SEARCH("x",$E6)+1,10))),"")</f>
        <v>0</v>
      </c>
      <c r="AE6" s="145" t="str">
        <f aca="false">IF(OR($AC6="",$AD6=""),"",IF($AC6&gt;$AD6,"A",IF($AC6&lt;$AD6,"B","E")))</f>
        <v>A</v>
      </c>
    </row>
    <row r="7" customFormat="false" ht="15.75" hidden="false" customHeight="true" outlineLevel="0" collapsed="false">
      <c r="A7" s="140"/>
      <c r="B7" s="28" t="s">
        <v>153</v>
      </c>
      <c r="C7" s="29" t="str">
        <f aca="false">TRIM(LEFT(B7,FIND(" x ",B7)-1))</f>
        <v>Costa do Marfim</v>
      </c>
      <c r="D7" s="29" t="str">
        <f aca="false">TRIM(MID(B7,FIND(" x ",B7)+3,100))</f>
        <v>Noruega</v>
      </c>
      <c r="E7" s="146" t="s">
        <v>108</v>
      </c>
      <c r="F7" s="134"/>
      <c r="G7" s="135"/>
      <c r="H7" s="142"/>
      <c r="I7" s="80" t="s">
        <v>45</v>
      </c>
      <c r="J7" s="111" t="s">
        <v>44</v>
      </c>
      <c r="K7" s="80" t="s">
        <v>45</v>
      </c>
      <c r="L7" s="80" t="s">
        <v>45</v>
      </c>
      <c r="M7" s="80" t="s">
        <v>45</v>
      </c>
      <c r="N7" s="80" t="s">
        <v>45</v>
      </c>
      <c r="O7" s="80" t="s">
        <v>45</v>
      </c>
      <c r="P7" s="80" t="s">
        <v>45</v>
      </c>
      <c r="Q7" s="80" t="s">
        <v>44</v>
      </c>
      <c r="R7" s="80" t="s">
        <v>45</v>
      </c>
      <c r="S7" s="80" t="s">
        <v>45</v>
      </c>
      <c r="T7" s="80" t="s">
        <v>46</v>
      </c>
      <c r="U7" s="80" t="s">
        <v>45</v>
      </c>
      <c r="V7" s="80" t="s">
        <v>46</v>
      </c>
      <c r="W7" s="80" t="s">
        <v>46</v>
      </c>
      <c r="X7" s="80" t="s">
        <v>44</v>
      </c>
      <c r="Y7" s="80" t="s">
        <v>46</v>
      </c>
      <c r="Z7" s="80" t="s">
        <v>44</v>
      </c>
      <c r="AA7" s="80" t="s">
        <v>45</v>
      </c>
      <c r="AB7" s="80" t="s">
        <v>45</v>
      </c>
      <c r="AC7" s="147" t="n">
        <f aca="false">IFERROR(VALUE(TRIM(LEFT($E7,SEARCH("x",$E7)-1))),"")</f>
        <v>1</v>
      </c>
      <c r="AD7" s="148" t="n">
        <f aca="false">IFERROR(VALUE(TRIM(MID($E7,SEARCH("x",$E7)+1,10))),"")</f>
        <v>2</v>
      </c>
      <c r="AE7" s="149" t="str">
        <f aca="false">IF(OR($AC7="",$AD7=""),"",IF($AC7&gt;$AD7,"A",IF($AC7&lt;$AD7,"B","E")))</f>
        <v>B</v>
      </c>
    </row>
    <row r="8" customFormat="false" ht="15.75" hidden="false" customHeight="true" outlineLevel="0" collapsed="false">
      <c r="A8" s="140"/>
      <c r="B8" s="131" t="s">
        <v>154</v>
      </c>
      <c r="C8" s="132" t="str">
        <f aca="false">TRIM(LEFT(B8,FIND(" x ",B8)-1))</f>
        <v>México</v>
      </c>
      <c r="D8" s="132" t="str">
        <f aca="false">TRIM(MID(B8,FIND(" x ",B8)+3,100))</f>
        <v>Equador</v>
      </c>
      <c r="E8" s="146" t="s">
        <v>43</v>
      </c>
      <c r="F8" s="134"/>
      <c r="G8" s="135"/>
      <c r="H8" s="136"/>
      <c r="I8" s="41" t="s">
        <v>44</v>
      </c>
      <c r="J8" s="115" t="s">
        <v>44</v>
      </c>
      <c r="K8" s="41" t="s">
        <v>44</v>
      </c>
      <c r="L8" s="41" t="s">
        <v>44</v>
      </c>
      <c r="M8" s="41" t="s">
        <v>44</v>
      </c>
      <c r="N8" s="41" t="s">
        <v>44</v>
      </c>
      <c r="O8" s="41" t="s">
        <v>44</v>
      </c>
      <c r="P8" s="41" t="s">
        <v>44</v>
      </c>
      <c r="Q8" s="41" t="s">
        <v>45</v>
      </c>
      <c r="R8" s="41" t="s">
        <v>45</v>
      </c>
      <c r="S8" s="41" t="s">
        <v>44</v>
      </c>
      <c r="T8" s="41" t="s">
        <v>46</v>
      </c>
      <c r="U8" s="41" t="s">
        <v>45</v>
      </c>
      <c r="V8" s="41" t="s">
        <v>44</v>
      </c>
      <c r="W8" s="41" t="s">
        <v>44</v>
      </c>
      <c r="X8" s="41" t="s">
        <v>44</v>
      </c>
      <c r="Y8" s="41" t="s">
        <v>45</v>
      </c>
      <c r="Z8" s="41" t="s">
        <v>44</v>
      </c>
      <c r="AA8" s="41" t="s">
        <v>44</v>
      </c>
      <c r="AB8" s="41" t="s">
        <v>44</v>
      </c>
      <c r="AC8" s="150" t="n">
        <f aca="false">IFERROR(VALUE(TRIM(LEFT($E8,SEARCH("x",$E8)-1))),"")</f>
        <v>2</v>
      </c>
      <c r="AD8" s="151" t="n">
        <f aca="false">IFERROR(VALUE(TRIM(MID($E8,SEARCH("x",$E8)+1,10))),"")</f>
        <v>0</v>
      </c>
      <c r="AE8" s="152" t="str">
        <f aca="false">IF(OR($AC8="",$AD8=""),"",IF($AC8&gt;$AD8,"A",IF($AC8&lt;$AD8,"B","E")))</f>
        <v>A</v>
      </c>
    </row>
    <row r="9" customFormat="false" ht="15.75" hidden="false" customHeight="true" outlineLevel="0" collapsed="false">
      <c r="A9" s="140" t="n">
        <v>46204</v>
      </c>
      <c r="B9" s="141" t="s">
        <v>155</v>
      </c>
      <c r="C9" s="63" t="str">
        <f aca="false">TRIM(LEFT(B9,FIND(" x ",B9)-1))</f>
        <v>Inglaterra</v>
      </c>
      <c r="D9" s="63" t="str">
        <f aca="false">TRIM(MID(B9,FIND(" x ",B9)+3,100))</f>
        <v>Rep. Dem. Congo</v>
      </c>
      <c r="E9" s="133" t="s">
        <v>48</v>
      </c>
      <c r="F9" s="134"/>
      <c r="G9" s="135"/>
      <c r="H9" s="142"/>
      <c r="I9" s="60" t="s">
        <v>44</v>
      </c>
      <c r="J9" s="60" t="s">
        <v>44</v>
      </c>
      <c r="K9" s="60" t="s">
        <v>44</v>
      </c>
      <c r="L9" s="60" t="s">
        <v>44</v>
      </c>
      <c r="M9" s="60" t="s">
        <v>44</v>
      </c>
      <c r="N9" s="60" t="s">
        <v>44</v>
      </c>
      <c r="O9" s="60" t="s">
        <v>44</v>
      </c>
      <c r="P9" s="60" t="s">
        <v>44</v>
      </c>
      <c r="Q9" s="60" t="s">
        <v>44</v>
      </c>
      <c r="R9" s="60" t="s">
        <v>44</v>
      </c>
      <c r="S9" s="60" t="s">
        <v>44</v>
      </c>
      <c r="T9" s="60" t="s">
        <v>44</v>
      </c>
      <c r="U9" s="60" t="s">
        <v>44</v>
      </c>
      <c r="V9" s="60" t="s">
        <v>44</v>
      </c>
      <c r="W9" s="60" t="s">
        <v>44</v>
      </c>
      <c r="X9" s="60" t="s">
        <v>44</v>
      </c>
      <c r="Y9" s="60" t="s">
        <v>44</v>
      </c>
      <c r="Z9" s="60" t="s">
        <v>44</v>
      </c>
      <c r="AA9" s="60" t="s">
        <v>44</v>
      </c>
      <c r="AB9" s="60"/>
      <c r="AC9" s="143" t="n">
        <f aca="false">IFERROR(VALUE(TRIM(LEFT($E9,SEARCH("x",$E9)-1))),"")</f>
        <v>2</v>
      </c>
      <c r="AD9" s="144" t="n">
        <f aca="false">IFERROR(VALUE(TRIM(MID($E9,SEARCH("x",$E9)+1,10))),"")</f>
        <v>1</v>
      </c>
      <c r="AE9" s="145" t="str">
        <f aca="false">IF(OR($AC9="",$AD9=""),"",IF($AC9&gt;$AD9,"A",IF($AC9&lt;$AD9,"B","E")))</f>
        <v>A</v>
      </c>
    </row>
    <row r="10" customFormat="false" ht="15.75" hidden="false" customHeight="true" outlineLevel="0" collapsed="false">
      <c r="A10" s="140"/>
      <c r="B10" s="28" t="s">
        <v>156</v>
      </c>
      <c r="C10" s="29" t="str">
        <f aca="false">TRIM(LEFT(B10,FIND(" x ",B10)-1))</f>
        <v>Estados Unidos</v>
      </c>
      <c r="D10" s="29" t="str">
        <f aca="false">TRIM(MID(B10,FIND(" x ",B10)+3,100))</f>
        <v>Bósnia e Herzeg.</v>
      </c>
      <c r="E10" s="146" t="s">
        <v>43</v>
      </c>
      <c r="F10" s="134"/>
      <c r="G10" s="135"/>
      <c r="H10" s="142"/>
      <c r="I10" s="80" t="s">
        <v>44</v>
      </c>
      <c r="J10" s="80" t="s">
        <v>44</v>
      </c>
      <c r="K10" s="80" t="s">
        <v>44</v>
      </c>
      <c r="L10" s="80" t="s">
        <v>44</v>
      </c>
      <c r="M10" s="80" t="s">
        <v>44</v>
      </c>
      <c r="N10" s="80" t="s">
        <v>44</v>
      </c>
      <c r="O10" s="80" t="s">
        <v>44</v>
      </c>
      <c r="P10" s="80" t="s">
        <v>44</v>
      </c>
      <c r="Q10" s="80" t="s">
        <v>44</v>
      </c>
      <c r="R10" s="80" t="s">
        <v>44</v>
      </c>
      <c r="S10" s="80" t="s">
        <v>44</v>
      </c>
      <c r="T10" s="80" t="s">
        <v>44</v>
      </c>
      <c r="U10" s="80" t="s">
        <v>44</v>
      </c>
      <c r="V10" s="80" t="s">
        <v>44</v>
      </c>
      <c r="W10" s="80" t="s">
        <v>44</v>
      </c>
      <c r="X10" s="80" t="s">
        <v>44</v>
      </c>
      <c r="Y10" s="80" t="s">
        <v>44</v>
      </c>
      <c r="Z10" s="80" t="s">
        <v>44</v>
      </c>
      <c r="AA10" s="80" t="s">
        <v>44</v>
      </c>
      <c r="AB10" s="80" t="s">
        <v>44</v>
      </c>
      <c r="AC10" s="147" t="n">
        <f aca="false">IFERROR(VALUE(TRIM(LEFT($E10,SEARCH("x",$E10)-1))),"")</f>
        <v>2</v>
      </c>
      <c r="AD10" s="148" t="n">
        <f aca="false">IFERROR(VALUE(TRIM(MID($E10,SEARCH("x",$E10)+1,10))),"")</f>
        <v>0</v>
      </c>
      <c r="AE10" s="149" t="str">
        <f aca="false">IF(OR($AC10="",$AD10=""),"",IF($AC10&gt;$AD10,"A",IF($AC10&lt;$AD10,"B","E")))</f>
        <v>A</v>
      </c>
    </row>
    <row r="11" customFormat="false" ht="15.75" hidden="false" customHeight="true" outlineLevel="0" collapsed="false">
      <c r="A11" s="140"/>
      <c r="B11" s="131" t="s">
        <v>157</v>
      </c>
      <c r="C11" s="132" t="str">
        <f aca="false">TRIM(LEFT(B11,FIND(" x ",B11)-1))</f>
        <v>Bélgica</v>
      </c>
      <c r="D11" s="132" t="str">
        <f aca="false">TRIM(MID(B11,FIND(" x ",B11)+3,100))</f>
        <v>Senegal</v>
      </c>
      <c r="E11" s="146" t="s">
        <v>63</v>
      </c>
      <c r="F11" s="134"/>
      <c r="G11" s="135" t="s">
        <v>44</v>
      </c>
      <c r="H11" s="136"/>
      <c r="I11" s="41" t="s">
        <v>44</v>
      </c>
      <c r="J11" s="115" t="s">
        <v>45</v>
      </c>
      <c r="K11" s="41" t="s">
        <v>45</v>
      </c>
      <c r="L11" s="41" t="s">
        <v>44</v>
      </c>
      <c r="M11" s="41" t="s">
        <v>44</v>
      </c>
      <c r="N11" s="41" t="s">
        <v>45</v>
      </c>
      <c r="O11" s="41" t="s">
        <v>45</v>
      </c>
      <c r="P11" s="41" t="s">
        <v>44</v>
      </c>
      <c r="Q11" s="41" t="s">
        <v>46</v>
      </c>
      <c r="R11" s="41" t="s">
        <v>45</v>
      </c>
      <c r="S11" s="41" t="s">
        <v>44</v>
      </c>
      <c r="T11" s="41" t="s">
        <v>45</v>
      </c>
      <c r="U11" s="41" t="s">
        <v>45</v>
      </c>
      <c r="V11" s="41" t="s">
        <v>46</v>
      </c>
      <c r="W11" s="41" t="s">
        <v>44</v>
      </c>
      <c r="X11" s="41" t="s">
        <v>45</v>
      </c>
      <c r="Y11" s="41" t="s">
        <v>45</v>
      </c>
      <c r="Z11" s="41" t="s">
        <v>44</v>
      </c>
      <c r="AA11" s="41" t="s">
        <v>45</v>
      </c>
      <c r="AB11" s="41" t="s">
        <v>46</v>
      </c>
      <c r="AC11" s="150" t="n">
        <f aca="false">IFERROR(VALUE(TRIM(LEFT($E11,SEARCH("x",$E11)-1))),"")</f>
        <v>2</v>
      </c>
      <c r="AD11" s="151" t="n">
        <f aca="false">IFERROR(VALUE(TRIM(MID($E11,SEARCH("x",$E11)+1,10))),"")</f>
        <v>2</v>
      </c>
      <c r="AE11" s="152" t="str">
        <f aca="false">IF(OR($AC11="",$AD11=""),"",IF($AC11&gt;$AD11,"A",IF($AC11&lt;$AD11,"B","E")))</f>
        <v>E</v>
      </c>
    </row>
    <row r="12" customFormat="false" ht="15.75" hidden="false" customHeight="true" outlineLevel="0" collapsed="false">
      <c r="A12" s="140" t="n">
        <v>46205</v>
      </c>
      <c r="B12" s="141" t="s">
        <v>158</v>
      </c>
      <c r="C12" s="63" t="str">
        <f aca="false">TRIM(LEFT(B12,FIND(" x ",B12)-1))</f>
        <v>Portugal</v>
      </c>
      <c r="D12" s="63" t="str">
        <f aca="false">TRIM(MID(B12,FIND(" x ",B12)+3,100))</f>
        <v>Croácia</v>
      </c>
      <c r="E12" s="133" t="s">
        <v>48</v>
      </c>
      <c r="F12" s="134"/>
      <c r="G12" s="135"/>
      <c r="H12" s="142"/>
      <c r="I12" s="60" t="s">
        <v>44</v>
      </c>
      <c r="J12" s="110" t="s">
        <v>44</v>
      </c>
      <c r="K12" s="60" t="s">
        <v>46</v>
      </c>
      <c r="L12" s="60" t="s">
        <v>44</v>
      </c>
      <c r="M12" s="60" t="s">
        <v>46</v>
      </c>
      <c r="N12" s="60" t="s">
        <v>44</v>
      </c>
      <c r="O12" s="60" t="s">
        <v>44</v>
      </c>
      <c r="P12" s="60" t="s">
        <v>44</v>
      </c>
      <c r="Q12" s="60" t="s">
        <v>45</v>
      </c>
      <c r="R12" s="60" t="s">
        <v>44</v>
      </c>
      <c r="S12" s="60" t="s">
        <v>46</v>
      </c>
      <c r="T12" s="60" t="s">
        <v>46</v>
      </c>
      <c r="U12" s="60" t="s">
        <v>44</v>
      </c>
      <c r="V12" s="60" t="s">
        <v>45</v>
      </c>
      <c r="W12" s="60" t="s">
        <v>44</v>
      </c>
      <c r="X12" s="60" t="s">
        <v>44</v>
      </c>
      <c r="Y12" s="60" t="s">
        <v>45</v>
      </c>
      <c r="Z12" s="60" t="s">
        <v>44</v>
      </c>
      <c r="AA12" s="60" t="s">
        <v>46</v>
      </c>
      <c r="AB12" s="60" t="s">
        <v>45</v>
      </c>
      <c r="AC12" s="143" t="n">
        <f aca="false">IFERROR(VALUE(TRIM(LEFT($E12,SEARCH("x",$E12)-1))),"")</f>
        <v>2</v>
      </c>
      <c r="AD12" s="144" t="n">
        <f aca="false">IFERROR(VALUE(TRIM(MID($E12,SEARCH("x",$E12)+1,10))),"")</f>
        <v>1</v>
      </c>
      <c r="AE12" s="145" t="str">
        <f aca="false">IF(OR($AC12="",$AD12=""),"",IF($AC12&gt;$AD12,"A",IF($AC12&lt;$AD12,"B","E")))</f>
        <v>A</v>
      </c>
    </row>
    <row r="13" customFormat="false" ht="15.75" hidden="false" customHeight="true" outlineLevel="0" collapsed="false">
      <c r="A13" s="140"/>
      <c r="B13" s="28" t="s">
        <v>159</v>
      </c>
      <c r="C13" s="29" t="str">
        <f aca="false">TRIM(LEFT(B13,FIND(" x ",B13)-1))</f>
        <v>Espanha</v>
      </c>
      <c r="D13" s="29" t="str">
        <f aca="false">TRIM(MID(B13,FIND(" x ",B13)+3,100))</f>
        <v>Áustria</v>
      </c>
      <c r="E13" s="146" t="s">
        <v>76</v>
      </c>
      <c r="F13" s="134"/>
      <c r="G13" s="135"/>
      <c r="H13" s="142"/>
      <c r="I13" s="80" t="s">
        <v>44</v>
      </c>
      <c r="J13" s="80" t="s">
        <v>44</v>
      </c>
      <c r="K13" s="80" t="s">
        <v>44</v>
      </c>
      <c r="L13" s="80" t="s">
        <v>44</v>
      </c>
      <c r="M13" s="80" t="s">
        <v>44</v>
      </c>
      <c r="N13" s="80" t="s">
        <v>44</v>
      </c>
      <c r="O13" s="80" t="s">
        <v>44</v>
      </c>
      <c r="P13" s="80" t="s">
        <v>44</v>
      </c>
      <c r="Q13" s="80" t="s">
        <v>44</v>
      </c>
      <c r="R13" s="80" t="s">
        <v>44</v>
      </c>
      <c r="S13" s="80" t="s">
        <v>44</v>
      </c>
      <c r="T13" s="80" t="s">
        <v>44</v>
      </c>
      <c r="U13" s="80" t="s">
        <v>44</v>
      </c>
      <c r="V13" s="80" t="s">
        <v>44</v>
      </c>
      <c r="W13" s="80" t="s">
        <v>44</v>
      </c>
      <c r="X13" s="80" t="s">
        <v>44</v>
      </c>
      <c r="Y13" s="80" t="s">
        <v>44</v>
      </c>
      <c r="Z13" s="80" t="s">
        <v>44</v>
      </c>
      <c r="AA13" s="80" t="s">
        <v>44</v>
      </c>
      <c r="AB13" s="80" t="s">
        <v>44</v>
      </c>
      <c r="AC13" s="147" t="n">
        <f aca="false">IFERROR(VALUE(TRIM(LEFT($E13,SEARCH("x",$E13)-1))),"")</f>
        <v>3</v>
      </c>
      <c r="AD13" s="148" t="n">
        <f aca="false">IFERROR(VALUE(TRIM(MID($E13,SEARCH("x",$E13)+1,10))),"")</f>
        <v>0</v>
      </c>
      <c r="AE13" s="149" t="str">
        <f aca="false">IF(OR($AC13="",$AD13=""),"",IF($AC13&gt;$AD13,"A",IF($AC13&lt;$AD13,"B","E")))</f>
        <v>A</v>
      </c>
    </row>
    <row r="14" customFormat="false" ht="15.75" hidden="false" customHeight="true" outlineLevel="0" collapsed="false">
      <c r="A14" s="140"/>
      <c r="B14" s="131" t="s">
        <v>160</v>
      </c>
      <c r="C14" s="132" t="str">
        <f aca="false">TRIM(LEFT(B14,FIND(" x ",B14)-1))</f>
        <v>Suíça</v>
      </c>
      <c r="D14" s="132" t="str">
        <f aca="false">TRIM(MID(B14,FIND(" x ",B14)+3,100))</f>
        <v>Argélia</v>
      </c>
      <c r="E14" s="146" t="s">
        <v>43</v>
      </c>
      <c r="F14" s="134"/>
      <c r="G14" s="135"/>
      <c r="H14" s="136"/>
      <c r="I14" s="41" t="s">
        <v>44</v>
      </c>
      <c r="J14" s="115" t="s">
        <v>44</v>
      </c>
      <c r="K14" s="41" t="s">
        <v>44</v>
      </c>
      <c r="L14" s="41" t="s">
        <v>46</v>
      </c>
      <c r="M14" s="41" t="s">
        <v>44</v>
      </c>
      <c r="N14" s="41" t="s">
        <v>46</v>
      </c>
      <c r="O14" s="41" t="s">
        <v>44</v>
      </c>
      <c r="P14" s="41" t="s">
        <v>44</v>
      </c>
      <c r="Q14" s="41" t="s">
        <v>44</v>
      </c>
      <c r="R14" s="41" t="s">
        <v>46</v>
      </c>
      <c r="S14" s="41" t="s">
        <v>46</v>
      </c>
      <c r="T14" s="41" t="s">
        <v>46</v>
      </c>
      <c r="U14" s="41" t="s">
        <v>44</v>
      </c>
      <c r="V14" s="41" t="s">
        <v>44</v>
      </c>
      <c r="W14" s="41" t="s">
        <v>44</v>
      </c>
      <c r="X14" s="41" t="s">
        <v>44</v>
      </c>
      <c r="Y14" s="41" t="s">
        <v>46</v>
      </c>
      <c r="Z14" s="41" t="s">
        <v>44</v>
      </c>
      <c r="AA14" s="41" t="s">
        <v>44</v>
      </c>
      <c r="AB14" s="41" t="s">
        <v>45</v>
      </c>
      <c r="AC14" s="150" t="n">
        <f aca="false">IFERROR(VALUE(TRIM(LEFT($E14,SEARCH("x",$E14)-1))),"")</f>
        <v>2</v>
      </c>
      <c r="AD14" s="151" t="n">
        <f aca="false">IFERROR(VALUE(TRIM(MID($E14,SEARCH("x",$E14)+1,10))),"")</f>
        <v>0</v>
      </c>
      <c r="AE14" s="152" t="str">
        <f aca="false">IF(OR($AC14="",$AD14=""),"",IF($AC14&gt;$AD14,"A",IF($AC14&lt;$AD14,"B","E")))</f>
        <v>A</v>
      </c>
    </row>
    <row r="15" customFormat="false" ht="15.75" hidden="false" customHeight="true" outlineLevel="0" collapsed="false">
      <c r="A15" s="140" t="n">
        <v>46206</v>
      </c>
      <c r="B15" s="141" t="s">
        <v>161</v>
      </c>
      <c r="C15" s="63" t="str">
        <f aca="false">TRIM(LEFT(B15,FIND(" x ",B15)-1))</f>
        <v>Colômbia</v>
      </c>
      <c r="D15" s="63" t="str">
        <f aca="false">TRIM(MID(B15,FIND(" x ",B15)+3,100))</f>
        <v>Gana</v>
      </c>
      <c r="E15" s="133" t="s">
        <v>162</v>
      </c>
      <c r="F15" s="134"/>
      <c r="G15" s="135"/>
      <c r="H15" s="142"/>
      <c r="I15" s="60" t="s">
        <v>44</v>
      </c>
      <c r="J15" s="60" t="s">
        <v>44</v>
      </c>
      <c r="K15" s="60" t="s">
        <v>44</v>
      </c>
      <c r="L15" s="60" t="s">
        <v>44</v>
      </c>
      <c r="M15" s="60" t="s">
        <v>44</v>
      </c>
      <c r="N15" s="60" t="s">
        <v>46</v>
      </c>
      <c r="O15" s="60" t="s">
        <v>44</v>
      </c>
      <c r="P15" s="60" t="s">
        <v>44</v>
      </c>
      <c r="Q15" s="60" t="s">
        <v>44</v>
      </c>
      <c r="R15" s="60" t="s">
        <v>44</v>
      </c>
      <c r="S15" s="60" t="s">
        <v>44</v>
      </c>
      <c r="T15" s="60" t="s">
        <v>46</v>
      </c>
      <c r="U15" s="60" t="s">
        <v>44</v>
      </c>
      <c r="V15" s="60" t="s">
        <v>46</v>
      </c>
      <c r="W15" s="60" t="s">
        <v>44</v>
      </c>
      <c r="X15" s="60" t="s">
        <v>44</v>
      </c>
      <c r="Y15" s="60" t="s">
        <v>46</v>
      </c>
      <c r="Z15" s="60" t="s">
        <v>44</v>
      </c>
      <c r="AA15" s="60" t="s">
        <v>44</v>
      </c>
      <c r="AB15" s="60" t="s">
        <v>45</v>
      </c>
      <c r="AC15" s="143" t="str">
        <f aca="false">IFERROR(VALUE(TRIM(LEFT($E15,SEARCH("x",$E15)-1))),"")</f>
        <v/>
      </c>
      <c r="AD15" s="144" t="str">
        <f aca="false">IFERROR(VALUE(TRIM(MID($E15,SEARCH("x",$E15)+1,10))),"")</f>
        <v/>
      </c>
      <c r="AE15" s="145" t="str">
        <f aca="false">IF(OR($AC15="",$AD15=""),"",IF($AC15&gt;$AD15,"A",IF($AC15&lt;$AD15,"B","E")))</f>
        <v/>
      </c>
    </row>
    <row r="16" customFormat="false" ht="15.75" hidden="false" customHeight="true" outlineLevel="0" collapsed="false">
      <c r="A16" s="140"/>
      <c r="B16" s="28" t="s">
        <v>163</v>
      </c>
      <c r="C16" s="29" t="str">
        <f aca="false">TRIM(LEFT(B16,FIND(" x ",B16)-1))</f>
        <v>Argentina</v>
      </c>
      <c r="D16" s="29" t="str">
        <f aca="false">TRIM(MID(B16,FIND(" x ",B16)+3,100))</f>
        <v>Cabo Verde</v>
      </c>
      <c r="E16" s="146" t="s">
        <v>162</v>
      </c>
      <c r="F16" s="134"/>
      <c r="G16" s="135"/>
      <c r="H16" s="142"/>
      <c r="I16" s="41" t="s">
        <v>44</v>
      </c>
      <c r="J16" s="41" t="s">
        <v>44</v>
      </c>
      <c r="K16" s="41" t="s">
        <v>44</v>
      </c>
      <c r="L16" s="41" t="s">
        <v>44</v>
      </c>
      <c r="M16" s="41" t="s">
        <v>44</v>
      </c>
      <c r="N16" s="41" t="s">
        <v>44</v>
      </c>
      <c r="O16" s="41" t="s">
        <v>44</v>
      </c>
      <c r="P16" s="41" t="s">
        <v>44</v>
      </c>
      <c r="Q16" s="41" t="s">
        <v>44</v>
      </c>
      <c r="R16" s="41" t="s">
        <v>44</v>
      </c>
      <c r="S16" s="41" t="s">
        <v>44</v>
      </c>
      <c r="T16" s="41" t="s">
        <v>44</v>
      </c>
      <c r="U16" s="41" t="s">
        <v>44</v>
      </c>
      <c r="V16" s="41" t="s">
        <v>44</v>
      </c>
      <c r="W16" s="41" t="s">
        <v>44</v>
      </c>
      <c r="X16" s="41" t="s">
        <v>44</v>
      </c>
      <c r="Y16" s="41" t="s">
        <v>44</v>
      </c>
      <c r="Z16" s="41" t="s">
        <v>44</v>
      </c>
      <c r="AA16" s="41" t="s">
        <v>45</v>
      </c>
      <c r="AB16" s="41" t="s">
        <v>45</v>
      </c>
      <c r="AC16" s="147" t="str">
        <f aca="false">IFERROR(VALUE(TRIM(LEFT($E16,SEARCH("x",$E16)-1))),"")</f>
        <v/>
      </c>
      <c r="AD16" s="148" t="str">
        <f aca="false">IFERROR(VALUE(TRIM(MID($E16,SEARCH("x",$E16)+1,10))),"")</f>
        <v/>
      </c>
      <c r="AE16" s="149" t="str">
        <f aca="false">IF(OR($AC16="",$AD16=""),"",IF($AC16&gt;$AD16,"A",IF($AC16&lt;$AD16,"B","E")))</f>
        <v/>
      </c>
    </row>
    <row r="17" customFormat="false" ht="15.75" hidden="false" customHeight="true" outlineLevel="0" collapsed="false">
      <c r="A17" s="140"/>
      <c r="B17" s="131" t="s">
        <v>164</v>
      </c>
      <c r="C17" s="132" t="str">
        <f aca="false">TRIM(LEFT(B17,FIND(" x ",B17)-1))</f>
        <v>Austrália</v>
      </c>
      <c r="D17" s="132" t="str">
        <f aca="false">TRIM(MID(B17,FIND(" x ",B17)+3,100))</f>
        <v>Egito</v>
      </c>
      <c r="E17" s="146" t="s">
        <v>50</v>
      </c>
      <c r="F17" s="134"/>
      <c r="G17" s="135"/>
      <c r="H17" s="136"/>
      <c r="I17" s="41" t="s">
        <v>45</v>
      </c>
      <c r="J17" s="41" t="s">
        <v>46</v>
      </c>
      <c r="K17" s="41" t="s">
        <v>45</v>
      </c>
      <c r="L17" s="41" t="s">
        <v>46</v>
      </c>
      <c r="M17" s="41" t="s">
        <v>45</v>
      </c>
      <c r="N17" s="41"/>
      <c r="O17" s="41" t="s">
        <v>45</v>
      </c>
      <c r="P17" s="41" t="s">
        <v>45</v>
      </c>
      <c r="Q17" s="41" t="s">
        <v>45</v>
      </c>
      <c r="R17" s="41" t="s">
        <v>45</v>
      </c>
      <c r="S17" s="41" t="s">
        <v>46</v>
      </c>
      <c r="T17" s="41" t="s">
        <v>45</v>
      </c>
      <c r="U17" s="41" t="s">
        <v>45</v>
      </c>
      <c r="V17" s="41" t="s">
        <v>46</v>
      </c>
      <c r="W17" s="41" t="s">
        <v>45</v>
      </c>
      <c r="X17" s="41" t="s">
        <v>45</v>
      </c>
      <c r="Y17" s="41" t="s">
        <v>45</v>
      </c>
      <c r="Z17" s="41" t="s">
        <v>45</v>
      </c>
      <c r="AA17" s="41" t="s">
        <v>45</v>
      </c>
      <c r="AB17" s="41" t="s">
        <v>46</v>
      </c>
      <c r="AC17" s="150" t="n">
        <f aca="false">IFERROR(VALUE(TRIM(LEFT($E17,SEARCH("x",$E17)-1))),"")</f>
        <v>1</v>
      </c>
      <c r="AD17" s="151" t="n">
        <f aca="false">IFERROR(VALUE(TRIM(MID($E17,SEARCH("x",$E17)+1,10))),"")</f>
        <v>1</v>
      </c>
      <c r="AE17" s="152" t="str">
        <f aca="false">IF(OR($AC17="",$AD17=""),"",IF($AC17&gt;$AD17,"A",IF($AC17&lt;$AD17,"B","E")))</f>
        <v>E</v>
      </c>
    </row>
    <row r="18" customFormat="false" ht="15.75" hidden="false" customHeight="true" outlineLevel="0" collapsed="false">
      <c r="H18" s="153" t="s">
        <v>144</v>
      </c>
      <c r="I18" s="154" t="n">
        <f aca="false" t="array" ref="I18:I18">SUMPRODUCT(--(UPPER(I2:I17)=$AE$2:$AE$17),--($AE$2:$AE$17&lt;&gt;""))+ORGANIZAÇÃO!G74</f>
        <v>52</v>
      </c>
      <c r="J18" s="122" t="n">
        <f aca="false" t="array" ref="J18:J18">SUMPRODUCT(--(UPPER(J2:J17)=$AE$2:$AE$17),--($AE$2:$AE$17&lt;&gt;""))+ORGANIZAÇÃO!H74</f>
        <v>51</v>
      </c>
      <c r="K18" s="122" t="n">
        <f aca="false" t="array" ref="K18:K18">SUMPRODUCT(--(UPPER(K2:K17)=$AE$2:$AE$17),--($AE$2:$AE$17&lt;&gt;""))+ORGANIZAÇÃO!I74</f>
        <v>51</v>
      </c>
      <c r="L18" s="122" t="n">
        <f aca="false" t="array" ref="L18:L18">SUMPRODUCT(--(UPPER(L2:L17)=$AE$2:$AE$17),--($AE$2:$AE$17&lt;&gt;""))+ORGANIZAÇÃO!J74</f>
        <v>53</v>
      </c>
      <c r="M18" s="122" t="n">
        <f aca="false" t="array" ref="M18:M18">SUMPRODUCT(--(UPPER(M2:M17)=$AE$2:$AE$17),--($AE$2:$AE$17&lt;&gt;""))+ORGANIZAÇÃO!K74</f>
        <v>48</v>
      </c>
      <c r="N18" s="122" t="n">
        <f aca="false" t="array" ref="N18:N18">SUMPRODUCT(--(UPPER(N2:N17)=$AE$2:$AE$17),--($AE$2:$AE$17&lt;&gt;""))+ORGANIZAÇÃO!L74</f>
        <v>49</v>
      </c>
      <c r="O18" s="122" t="n">
        <f aca="false" t="array" ref="O18:O18">SUMPRODUCT(--(UPPER(O2:O17)=$AE$2:$AE$17),--($AE$2:$AE$17&lt;&gt;""))+ORGANIZAÇÃO!M74</f>
        <v>54</v>
      </c>
      <c r="P18" s="122" t="n">
        <f aca="false" t="array" ref="P18:P18">SUMPRODUCT(--(UPPER(P2:P17)=$AE$2:$AE$17),--($AE$2:$AE$17&lt;&gt;""))+ORGANIZAÇÃO!N74</f>
        <v>57</v>
      </c>
      <c r="Q18" s="122" t="n">
        <f aca="false" t="array" ref="Q18:Q18">SUMPRODUCT(--(UPPER(Q2:Q17)=$AE$2:$AE$17),--($AE$2:$AE$17&lt;&gt;""))+ORGANIZAÇÃO!O74</f>
        <v>47</v>
      </c>
      <c r="R18" s="122" t="n">
        <f aca="false" t="array" ref="R18:R18">SUMPRODUCT(--(UPPER(R2:R17)=$AE$2:$AE$17),--($AE$2:$AE$17&lt;&gt;""))+ORGANIZAÇÃO!P74</f>
        <v>50</v>
      </c>
      <c r="S18" s="122" t="n">
        <f aca="false" t="array" ref="S18:S18">SUMPRODUCT(--(UPPER(S2:S17)=$AE$2:$AE$17),--($AE$2:$AE$17&lt;&gt;""))+ORGANIZAÇÃO!Q74</f>
        <v>47</v>
      </c>
      <c r="T18" s="122" t="n">
        <f aca="false" t="array" ref="T18:T18">SUMPRODUCT(--(UPPER(T2:T17)=$AE$2:$AE$17),--($AE$2:$AE$17&lt;&gt;""))+ORGANIZAÇÃO!R74</f>
        <v>42</v>
      </c>
      <c r="U18" s="122" t="n">
        <f aca="false" t="array" ref="U18:U18">SUMPRODUCT(--(UPPER(U2:U17)=$AE$2:$AE$17),--($AE$2:$AE$17&lt;&gt;""))+ORGANIZAÇÃO!S74</f>
        <v>44</v>
      </c>
      <c r="V18" s="122" t="n">
        <f aca="false" t="array" ref="V18:V18">SUMPRODUCT(--(UPPER(V2:V17)=$AE$2:$AE$17),--($AE$2:$AE$17&lt;&gt;""))+ORGANIZAÇÃO!T74</f>
        <v>47</v>
      </c>
      <c r="W18" s="122" t="n">
        <f aca="false" t="array" ref="W18:W18">SUMPRODUCT(--(UPPER(W2:W17)=$AE$2:$AE$17),--($AE$2:$AE$17&lt;&gt;""))+ORGANIZAÇÃO!U74</f>
        <v>50</v>
      </c>
      <c r="X18" s="122" t="n">
        <f aca="false" t="array" ref="X18:X18">SUMPRODUCT(--(UPPER(X2:X17)=$AE$2:$AE$17),--($AE$2:$AE$17&lt;&gt;""))+ORGANIZAÇÃO!V74</f>
        <v>47</v>
      </c>
      <c r="Y18" s="122" t="n">
        <f aca="false" t="array" ref="Y18:Y18">SUMPRODUCT(--(UPPER(Y2:Y17)=$AE$2:$AE$17),--($AE$2:$AE$17&lt;&gt;""))+ORGANIZAÇÃO!W74</f>
        <v>46</v>
      </c>
      <c r="Z18" s="122" t="n">
        <f aca="false" t="array" ref="Z18:Z18">SUMPRODUCT(--(UPPER(Z2:Z17)=$AE$2:$AE$17),--($AE$2:$AE$17&lt;&gt;""))+ORGANIZAÇÃO!X74</f>
        <v>46</v>
      </c>
      <c r="AA18" s="122" t="n">
        <f aca="false" t="array" ref="AA18:AA18">SUMPRODUCT(--(UPPER(AA2:AA17)=$AE$2:$AE$17),--($AE$2:$AE$17&lt;&gt;""))+ORGANIZAÇÃO!Y74</f>
        <v>48</v>
      </c>
      <c r="AB18" s="122" t="n">
        <f aca="false" t="array" ref="AB18: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priority="2" aboveAverage="0" equalAverage="0" bottom="0" percent="0" rank="0" text="" dxfId="14">
      <formula>AND($AE2&lt;&gt;"",I2=$AE2)</formula>
    </cfRule>
    <cfRule type="expression" priority="3" aboveAverage="0" equalAverage="0" bottom="0" percent="0" rank="0" text="" dxfId="15">
      <formula>AND($AE2&lt;&gt;"",I2&lt;&gt;"",I2&lt;&gt;$AE2)</formula>
    </cfRule>
  </conditionalFormatting>
  <dataValidations count="1">
    <dataValidation allowBlank="true" error="Digite apenas A (Time A), B (Time B) ou E (Empate)." errorStyle="stop" errorTitle="Valor inválido" operator="between" prompt="Escolha A, B ou E" promptTitle="Palpite" showDropDown="false" showErrorMessage="true" showInputMessage="false" sqref="I2:AB17" type="list">
      <formula1>"A,B,E"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" activeCellId="0" sqref="E3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32.43"/>
    <col collapsed="false" customWidth="true" hidden="false" outlineLevel="0" max="4" min="3" style="0" width="20.57"/>
    <col collapsed="false" customWidth="true" hidden="false" outlineLevel="0" max="6" min="5" style="0" width="12.57"/>
    <col collapsed="false" customWidth="true" hidden="false" outlineLevel="0" max="7" min="7" style="0" width="14.29"/>
    <col collapsed="false" customWidth="true" hidden="false" outlineLevel="0" max="8" min="8" style="0" width="6"/>
    <col collapsed="false" customWidth="true" hidden="false" outlineLevel="0" max="31" min="9" style="0" width="16.43"/>
  </cols>
  <sheetData>
    <row r="1" customFormat="false" ht="16.5" hidden="false" customHeight="true" outlineLevel="0" collapsed="false">
      <c r="A1" s="123" t="s">
        <v>30</v>
      </c>
      <c r="B1" s="19" t="s">
        <v>31</v>
      </c>
      <c r="C1" s="20" t="s">
        <v>32</v>
      </c>
      <c r="D1" s="20" t="s">
        <v>33</v>
      </c>
      <c r="E1" s="21" t="s">
        <v>34</v>
      </c>
      <c r="F1" s="124" t="s">
        <v>145</v>
      </c>
      <c r="G1" s="125" t="s">
        <v>146</v>
      </c>
      <c r="H1" s="126"/>
      <c r="I1" s="24" t="s">
        <v>3</v>
      </c>
      <c r="J1" s="127" t="s">
        <v>5</v>
      </c>
      <c r="K1" s="24" t="s">
        <v>6</v>
      </c>
      <c r="L1" s="24" t="s">
        <v>35</v>
      </c>
      <c r="M1" s="24" t="s">
        <v>7</v>
      </c>
      <c r="N1" s="24" t="s">
        <v>36</v>
      </c>
      <c r="O1" s="24" t="s">
        <v>8</v>
      </c>
      <c r="P1" s="24" t="s">
        <v>9</v>
      </c>
      <c r="Q1" s="24" t="s">
        <v>18</v>
      </c>
      <c r="R1" s="24" t="s">
        <v>10</v>
      </c>
      <c r="S1" s="24" t="s">
        <v>37</v>
      </c>
      <c r="T1" s="24" t="s">
        <v>11</v>
      </c>
      <c r="U1" s="24" t="s">
        <v>12</v>
      </c>
      <c r="V1" s="24" t="s">
        <v>13</v>
      </c>
      <c r="W1" s="24" t="s">
        <v>38</v>
      </c>
      <c r="X1" s="24" t="s">
        <v>14</v>
      </c>
      <c r="Y1" s="24" t="s">
        <v>15</v>
      </c>
      <c r="Z1" s="24" t="s">
        <v>16</v>
      </c>
      <c r="AA1" s="24" t="s">
        <v>17</v>
      </c>
      <c r="AB1" s="24" t="s">
        <v>19</v>
      </c>
      <c r="AC1" s="128" t="s">
        <v>39</v>
      </c>
      <c r="AD1" s="129" t="s">
        <v>40</v>
      </c>
      <c r="AE1" s="26" t="s">
        <v>41</v>
      </c>
    </row>
    <row r="2" customFormat="false" ht="15.75" hidden="false" customHeight="true" outlineLevel="0" collapsed="false">
      <c r="A2" s="130" t="n">
        <v>46207</v>
      </c>
      <c r="B2" s="131" t="s">
        <v>165</v>
      </c>
      <c r="C2" s="132" t="str">
        <f aca="false">TRIM(LEFT(B2,FIND(" x ",B2)-1))</f>
        <v>Paraguai</v>
      </c>
      <c r="D2" s="132" t="str">
        <f aca="false">TRIM(MID(B2,FIND(" x ",B2)+3,100))</f>
        <v>França</v>
      </c>
      <c r="E2" s="133" t="s">
        <v>162</v>
      </c>
      <c r="F2" s="134"/>
      <c r="G2" s="135"/>
      <c r="H2" s="136"/>
      <c r="I2" s="155"/>
      <c r="J2" s="156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39" t="str">
        <f aca="false">IFERROR(VALUE(TRIM(LEFT($E2,SEARCH("x",$E2)-1))),"")</f>
        <v/>
      </c>
      <c r="AD2" s="44" t="str">
        <f aca="false">IFERROR(VALUE(TRIM(MID($E2,SEARCH("x",$E2)+1,10))),"")</f>
        <v/>
      </c>
      <c r="AE2" s="120" t="str">
        <f aca="false">IF(OR($AC2="",$AD2=""),"",IF($AC2&gt;$AD2,"A",IF($AC2&lt;$AD2,"B","E")))</f>
        <v/>
      </c>
    </row>
    <row r="3" customFormat="false" ht="15.75" hidden="false" customHeight="true" outlineLevel="0" collapsed="false">
      <c r="A3" s="130"/>
      <c r="B3" s="141" t="s">
        <v>166</v>
      </c>
      <c r="C3" s="63" t="str">
        <f aca="false">TRIM(LEFT(B3,FIND(" x ",B3)-1))</f>
        <v>Canadá</v>
      </c>
      <c r="D3" s="63" t="str">
        <f aca="false">TRIM(MID(B3,FIND(" x ",B3)+3,100))</f>
        <v>Marrocos</v>
      </c>
      <c r="E3" s="133" t="s">
        <v>162</v>
      </c>
      <c r="F3" s="134"/>
      <c r="G3" s="135"/>
      <c r="H3" s="142"/>
      <c r="I3" s="157"/>
      <c r="J3" s="158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43" t="str">
        <f aca="false">IFERROR(VALUE(TRIM(LEFT($E3,SEARCH("x",$E3)-1))),"")</f>
        <v/>
      </c>
      <c r="AD3" s="144" t="str">
        <f aca="false">IFERROR(VALUE(TRIM(MID($E3,SEARCH("x",$E3)+1,10))),"")</f>
        <v/>
      </c>
      <c r="AE3" s="145" t="str">
        <f aca="false">IF(OR($AC3="",$AD3=""),"",IF($AC3&gt;$AD3,"A",IF($AC3&lt;$AD3,"B","E")))</f>
        <v/>
      </c>
    </row>
    <row r="4" customFormat="false" ht="15.75" hidden="false" customHeight="true" outlineLevel="0" collapsed="false">
      <c r="A4" s="130" t="n">
        <v>46208</v>
      </c>
      <c r="B4" s="28" t="s">
        <v>167</v>
      </c>
      <c r="C4" s="29" t="str">
        <f aca="false">TRIM(LEFT(B4,FIND(" x ",B4)-1))</f>
        <v>Brasil</v>
      </c>
      <c r="D4" s="29" t="str">
        <f aca="false">TRIM(MID(B4,FIND(" x ",B4)+3,100))</f>
        <v>Noruega</v>
      </c>
      <c r="E4" s="146" t="s">
        <v>162</v>
      </c>
      <c r="F4" s="134"/>
      <c r="G4" s="135"/>
      <c r="H4" s="142"/>
      <c r="I4" s="159"/>
      <c r="J4" s="160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  <c r="AA4" s="159"/>
      <c r="AB4" s="159"/>
      <c r="AC4" s="147" t="str">
        <f aca="false">IFERROR(VALUE(TRIM(LEFT($E4,SEARCH("x",$E4)-1))),"")</f>
        <v/>
      </c>
      <c r="AD4" s="148" t="str">
        <f aca="false">IFERROR(VALUE(TRIM(MID($E4,SEARCH("x",$E4)+1,10))),"")</f>
        <v/>
      </c>
      <c r="AE4" s="149" t="str">
        <f aca="false">IF(OR($AC4="",$AD4=""),"",IF($AC4&gt;$AD4,"A",IF($AC4&lt;$AD4,"B","E")))</f>
        <v/>
      </c>
    </row>
    <row r="5" customFormat="false" ht="15.75" hidden="false" customHeight="true" outlineLevel="0" collapsed="false">
      <c r="A5" s="130"/>
      <c r="B5" s="131" t="s">
        <v>168</v>
      </c>
      <c r="C5" s="132" t="str">
        <f aca="false">TRIM(LEFT(B5,FIND(" x ",B5)-1))</f>
        <v>México</v>
      </c>
      <c r="D5" s="132" t="str">
        <f aca="false">TRIM(MID(B5,FIND(" x ",B5)+3,100))</f>
        <v>Inglaterra</v>
      </c>
      <c r="E5" s="146" t="s">
        <v>162</v>
      </c>
      <c r="F5" s="134"/>
      <c r="G5" s="135"/>
      <c r="H5" s="136"/>
      <c r="I5" s="161"/>
      <c r="J5" s="162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50" t="str">
        <f aca="false">IFERROR(VALUE(TRIM(LEFT($E5,SEARCH("x",$E5)-1))),"")</f>
        <v/>
      </c>
      <c r="AD5" s="151" t="str">
        <f aca="false">IFERROR(VALUE(TRIM(MID($E5,SEARCH("x",$E5)+1,10))),"")</f>
        <v/>
      </c>
      <c r="AE5" s="152" t="str">
        <f aca="false">IF(OR($AC5="",$AD5=""),"",IF($AC5&gt;$AD5,"A",IF($AC5&lt;$AD5,"B","E")))</f>
        <v/>
      </c>
    </row>
    <row r="6" customFormat="false" ht="15.75" hidden="false" customHeight="true" outlineLevel="0" collapsed="false">
      <c r="A6" s="130" t="n">
        <v>46209</v>
      </c>
      <c r="B6" s="141" t="s">
        <v>169</v>
      </c>
      <c r="C6" s="63" t="str">
        <f aca="false">TRIM(LEFT(B6,FIND(" x ",B6)-1))</f>
        <v>Portugal</v>
      </c>
      <c r="D6" s="63" t="str">
        <f aca="false">TRIM(MID(B6,FIND(" x ",B6)+3,100))</f>
        <v>Espanha</v>
      </c>
      <c r="E6" s="133" t="s">
        <v>162</v>
      </c>
      <c r="F6" s="134"/>
      <c r="G6" s="135"/>
      <c r="H6" s="142"/>
      <c r="I6" s="157"/>
      <c r="J6" s="158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43" t="str">
        <f aca="false">IFERROR(VALUE(TRIM(LEFT($E6,SEARCH("x",$E6)-1))),"")</f>
        <v/>
      </c>
      <c r="AD6" s="144" t="str">
        <f aca="false">IFERROR(VALUE(TRIM(MID($E6,SEARCH("x",$E6)+1,10))),"")</f>
        <v/>
      </c>
      <c r="AE6" s="145" t="str">
        <f aca="false">IF(OR($AC6="",$AD6=""),"",IF($AC6&gt;$AD6,"A",IF($AC6&lt;$AD6,"B","E")))</f>
        <v/>
      </c>
    </row>
    <row r="7" customFormat="false" ht="15.75" hidden="false" customHeight="true" outlineLevel="0" collapsed="false">
      <c r="A7" s="130"/>
      <c r="B7" s="28" t="s">
        <v>170</v>
      </c>
      <c r="C7" s="29" t="str">
        <f aca="false">TRIM(LEFT(B7,FIND(" x ",B7)-1))</f>
        <v>Estados Unidos</v>
      </c>
      <c r="D7" s="29" t="str">
        <f aca="false">TRIM(MID(B7,FIND(" x ",B7)+3,100))</f>
        <v>Bélgica</v>
      </c>
      <c r="E7" s="146" t="s">
        <v>162</v>
      </c>
      <c r="F7" s="134"/>
      <c r="G7" s="135"/>
      <c r="H7" s="142"/>
      <c r="I7" s="159"/>
      <c r="J7" s="160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  <c r="AA7" s="159"/>
      <c r="AB7" s="159"/>
      <c r="AC7" s="147" t="str">
        <f aca="false">IFERROR(VALUE(TRIM(LEFT($E7,SEARCH("x",$E7)-1))),"")</f>
        <v/>
      </c>
      <c r="AD7" s="148" t="str">
        <f aca="false">IFERROR(VALUE(TRIM(MID($E7,SEARCH("x",$E7)+1,10))),"")</f>
        <v/>
      </c>
      <c r="AE7" s="149" t="str">
        <f aca="false">IF(OR($AC7="",$AD7=""),"",IF($AC7&gt;$AD7,"A",IF($AC7&lt;$AD7,"B","E")))</f>
        <v/>
      </c>
    </row>
    <row r="8" customFormat="false" ht="15.75" hidden="false" customHeight="true" outlineLevel="0" collapsed="false">
      <c r="A8" s="130" t="n">
        <v>46210</v>
      </c>
      <c r="B8" s="131" t="s">
        <v>171</v>
      </c>
      <c r="C8" s="132" t="str">
        <f aca="false">TRIM(LEFT(B8,FIND(" x ",B8)-1))</f>
        <v>Vencedor Jogo 15</v>
      </c>
      <c r="D8" s="163" t="str">
        <f aca="false">TRIM(MID(B8,FIND(" x ",B8)+3,100))</f>
        <v>Egito</v>
      </c>
      <c r="E8" s="146" t="s">
        <v>162</v>
      </c>
      <c r="F8" s="134"/>
      <c r="G8" s="135"/>
      <c r="H8" s="136"/>
      <c r="I8" s="161"/>
      <c r="J8" s="162"/>
      <c r="K8" s="161"/>
      <c r="L8" s="161"/>
      <c r="M8" s="161"/>
      <c r="N8" s="161"/>
      <c r="O8" s="161"/>
      <c r="P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50" t="str">
        <f aca="false">IFERROR(VALUE(TRIM(LEFT($E8,SEARCH("x",$E8)-1))),"")</f>
        <v/>
      </c>
      <c r="AD8" s="151" t="str">
        <f aca="false">IFERROR(VALUE(TRIM(MID($E8,SEARCH("x",$E8)+1,10))),"")</f>
        <v/>
      </c>
      <c r="AE8" s="152" t="str">
        <f aca="false">IF(OR($AC8="",$AD8=""),"",IF($AC8&gt;$AD8,"A",IF($AC8&lt;$AD8,"B","E")))</f>
        <v/>
      </c>
    </row>
    <row r="9" customFormat="false" ht="15.75" hidden="false" customHeight="true" outlineLevel="0" collapsed="false">
      <c r="A9" s="130"/>
      <c r="B9" s="131" t="s">
        <v>172</v>
      </c>
      <c r="C9" s="164" t="str">
        <f aca="false">TRIM(LEFT(B9,FIND(" x ",B9)-1))</f>
        <v>Suíça</v>
      </c>
      <c r="D9" s="165" t="str">
        <f aca="false">TRIM(MID(B9,FIND(" x ",B9)+3,100))</f>
        <v>Vencedor Jogo 14</v>
      </c>
      <c r="E9" s="133" t="s">
        <v>162</v>
      </c>
      <c r="F9" s="134"/>
      <c r="G9" s="135"/>
      <c r="H9" s="142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43" t="str">
        <f aca="false">IFERROR(VALUE(TRIM(LEFT($E9,SEARCH("x",$E9)-1))),"")</f>
        <v/>
      </c>
      <c r="AD9" s="144" t="str">
        <f aca="false">IFERROR(VALUE(TRIM(MID($E9,SEARCH("x",$E9)+1,10))),"")</f>
        <v/>
      </c>
      <c r="AE9" s="145" t="str">
        <f aca="false">IF(OR($AC9="",$AD9=""),"",IF($AC9&gt;$AD9,"A",IF($AC9&lt;$AD9,"B","E")))</f>
        <v/>
      </c>
    </row>
    <row r="10" customFormat="false" ht="15.75" hidden="false" customHeight="true" outlineLevel="0" collapsed="false">
      <c r="H10" s="153" t="s">
        <v>144</v>
      </c>
      <c r="I10" s="154" t="n">
        <f aca="false" t="array" ref="I10:I10">SUMPRODUCT(--(UPPER(I2:I9)=$AE$2:$AE$9),--($AE$2:$AE$9&lt;&gt;""))+'MATA-MATA 32'!I18</f>
        <v>52</v>
      </c>
      <c r="J10" s="122" t="n">
        <f aca="false" t="array" ref="J10:J10">SUMPRODUCT(--(UPPER(J2:J9)=$AE$2:$AE$9),--($AE$2:$AE$9&lt;&gt;""))+'MATA-MATA 32'!J18</f>
        <v>51</v>
      </c>
      <c r="K10" s="122" t="n">
        <f aca="false" t="array" ref="K10:K10">SUMPRODUCT(--(UPPER(K2:K9)=$AE$2:$AE$9),--($AE$2:$AE$9&lt;&gt;""))+'MATA-MATA 32'!K18</f>
        <v>51</v>
      </c>
      <c r="L10" s="122" t="n">
        <f aca="false" t="array" ref="L10:L10">SUMPRODUCT(--(UPPER(L2:L9)=$AE$2:$AE$9),--($AE$2:$AE$9&lt;&gt;""))+'MATA-MATA 32'!L18</f>
        <v>53</v>
      </c>
      <c r="M10" s="122" t="n">
        <f aca="false" t="array" ref="M10:M10">SUMPRODUCT(--(UPPER(M2:M9)=$AE$2:$AE$9),--($AE$2:$AE$9&lt;&gt;""))+'MATA-MATA 32'!M18</f>
        <v>48</v>
      </c>
      <c r="N10" s="122" t="n">
        <f aca="false" t="array" ref="N10:N10">SUMPRODUCT(--(UPPER(N2:N9)=$AE$2:$AE$9),--($AE$2:$AE$9&lt;&gt;""))+'MATA-MATA 32'!N18</f>
        <v>49</v>
      </c>
      <c r="O10" s="122" t="n">
        <f aca="false" t="array" ref="O10:O10">SUMPRODUCT(--(UPPER(O2:O9)=$AE$2:$AE$9),--($AE$2:$AE$9&lt;&gt;""))+'MATA-MATA 32'!O18</f>
        <v>54</v>
      </c>
      <c r="P10" s="122" t="n">
        <f aca="false" t="array" ref="P10:P10">SUMPRODUCT(--(UPPER(P2:P9)=$AE$2:$AE$9),--($AE$2:$AE$9&lt;&gt;""))+'MATA-MATA 32'!P18</f>
        <v>57</v>
      </c>
      <c r="Q10" s="122" t="n">
        <f aca="false" t="array" ref="Q10:Q10">SUMPRODUCT(--(UPPER(Q2:Q9)=$AE$2:$AE$9),--($AE$2:$AE$9&lt;&gt;""))+'MATA-MATA 32'!Q18</f>
        <v>47</v>
      </c>
      <c r="R10" s="122" t="n">
        <f aca="false" t="array" ref="R10:R10">SUMPRODUCT(--(UPPER(R2:R9)=$AE$2:$AE$9),--($AE$2:$AE$9&lt;&gt;""))+'MATA-MATA 32'!R18</f>
        <v>50</v>
      </c>
      <c r="S10" s="122" t="n">
        <f aca="false" t="array" ref="S10:S10">SUMPRODUCT(--(UPPER(S2:S9)=$AE$2:$AE$9),--($AE$2:$AE$9&lt;&gt;""))+'MATA-MATA 32'!S18</f>
        <v>47</v>
      </c>
      <c r="T10" s="122" t="n">
        <f aca="false" t="array" ref="T10:T10">SUMPRODUCT(--(UPPER(T2:T9)=$AE$2:$AE$9),--($AE$2:$AE$9&lt;&gt;""))+'MATA-MATA 32'!T18</f>
        <v>42</v>
      </c>
      <c r="U10" s="122" t="n">
        <f aca="false" t="array" ref="U10:U10">SUMPRODUCT(--(UPPER(U2:U9)=$AE$2:$AE$9),--($AE$2:$AE$9&lt;&gt;""))+'MATA-MATA 32'!U18</f>
        <v>44</v>
      </c>
      <c r="V10" s="122" t="n">
        <f aca="false" t="array" ref="V10:V10">SUMPRODUCT(--(UPPER(V2:V9)=$AE$2:$AE$9),--($AE$2:$AE$9&lt;&gt;""))+'MATA-MATA 32'!V18</f>
        <v>47</v>
      </c>
      <c r="W10" s="122" t="n">
        <f aca="false" t="array" ref="W10:W10">SUMPRODUCT(--(UPPER(W2:W9)=$AE$2:$AE$9),--($AE$2:$AE$9&lt;&gt;""))+'MATA-MATA 32'!W18</f>
        <v>50</v>
      </c>
      <c r="X10" s="122" t="n">
        <f aca="false" t="array" ref="X10:X10">SUMPRODUCT(--(UPPER(X2:X9)=$AE$2:$AE$9),--($AE$2:$AE$9&lt;&gt;""))+'MATA-MATA 32'!X18</f>
        <v>47</v>
      </c>
      <c r="Y10" s="122" t="n">
        <f aca="false" t="array" ref="Y10:Y10">SUMPRODUCT(--(UPPER(Y2:Y9)=$AE$2:$AE$9),--($AE$2:$AE$9&lt;&gt;""))+'MATA-MATA 32'!Y18</f>
        <v>46</v>
      </c>
      <c r="Z10" s="122" t="n">
        <f aca="false" t="array" ref="Z10:Z10">SUMPRODUCT(--(UPPER(Z2:Z9)=$AE$2:$AE$9),--($AE$2:$AE$9&lt;&gt;""))+'MATA-MATA 32'!Z18</f>
        <v>46</v>
      </c>
      <c r="AA10" s="122" t="n">
        <f aca="false" t="array" ref="AA10:AA10">SUMPRODUCT(--(UPPER(AA2:AA9)=$AE$2:$AE$9),--($AE$2:$AE$9&lt;&gt;""))+'MATA-MATA 32'!AA18</f>
        <v>48</v>
      </c>
      <c r="AB10" s="122" t="n">
        <f aca="false" t="array" ref="AB10:AB10">SUMPRODUCT(--(UPPER(AB2:AB9)=$AE$2:$AE$9),--($AE$2:$AE$9&lt;&gt;""))+'MATA-MATA 32'!AB18</f>
        <v>41</v>
      </c>
    </row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</sheetData>
  <mergeCells count="4">
    <mergeCell ref="A2:A3"/>
    <mergeCell ref="A4:A5"/>
    <mergeCell ref="A6:A7"/>
    <mergeCell ref="A8:A9"/>
  </mergeCells>
  <conditionalFormatting sqref="I2:AB9">
    <cfRule type="expression" priority="2" aboveAverage="0" equalAverage="0" bottom="0" percent="0" rank="0" text="" dxfId="16">
      <formula>AND($AE2&lt;&gt;"",I2=$AE2)</formula>
    </cfRule>
    <cfRule type="expression" priority="3" aboveAverage="0" equalAverage="0" bottom="0" percent="0" rank="0" text="" dxfId="17">
      <formula>AND($AE2&lt;&gt;"",I2&lt;&gt;"",I2&lt;&gt;$AE2)</formula>
    </cfRule>
  </conditionalFormatting>
  <dataValidations count="1">
    <dataValidation allowBlank="true" errorStyle="stop" operator="between" showDropDown="false" showErrorMessage="false" showInputMessage="false" sqref="I2:AB9" type="list">
      <formula1>"A,B,E"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32.43"/>
    <col collapsed="false" customWidth="true" hidden="false" outlineLevel="0" max="4" min="3" style="0" width="20.57"/>
    <col collapsed="false" customWidth="true" hidden="false" outlineLevel="0" max="6" min="5" style="0" width="12.57"/>
    <col collapsed="false" customWidth="true" hidden="false" outlineLevel="0" max="7" min="7" style="0" width="14.29"/>
    <col collapsed="false" customWidth="true" hidden="false" outlineLevel="0" max="8" min="8" style="0" width="6"/>
    <col collapsed="false" customWidth="true" hidden="false" outlineLevel="0" max="31" min="9" style="0" width="16.43"/>
  </cols>
  <sheetData>
    <row r="1" customFormat="false" ht="16.5" hidden="false" customHeight="true" outlineLevel="0" collapsed="false">
      <c r="A1" s="123" t="s">
        <v>30</v>
      </c>
      <c r="B1" s="19" t="s">
        <v>31</v>
      </c>
      <c r="C1" s="20" t="s">
        <v>32</v>
      </c>
      <c r="D1" s="20" t="s">
        <v>33</v>
      </c>
      <c r="E1" s="21" t="s">
        <v>34</v>
      </c>
      <c r="F1" s="124" t="s">
        <v>145</v>
      </c>
      <c r="G1" s="125" t="s">
        <v>146</v>
      </c>
      <c r="H1" s="126"/>
      <c r="I1" s="24" t="s">
        <v>3</v>
      </c>
      <c r="J1" s="127" t="s">
        <v>5</v>
      </c>
      <c r="K1" s="24" t="s">
        <v>6</v>
      </c>
      <c r="L1" s="24" t="s">
        <v>35</v>
      </c>
      <c r="M1" s="24" t="s">
        <v>7</v>
      </c>
      <c r="N1" s="24" t="s">
        <v>36</v>
      </c>
      <c r="O1" s="24" t="s">
        <v>8</v>
      </c>
      <c r="P1" s="24" t="s">
        <v>9</v>
      </c>
      <c r="Q1" s="24" t="s">
        <v>18</v>
      </c>
      <c r="R1" s="24" t="s">
        <v>10</v>
      </c>
      <c r="S1" s="24" t="s">
        <v>37</v>
      </c>
      <c r="T1" s="24" t="s">
        <v>11</v>
      </c>
      <c r="U1" s="24" t="s">
        <v>12</v>
      </c>
      <c r="V1" s="24" t="s">
        <v>13</v>
      </c>
      <c r="W1" s="24" t="s">
        <v>38</v>
      </c>
      <c r="X1" s="24" t="s">
        <v>14</v>
      </c>
      <c r="Y1" s="24" t="s">
        <v>15</v>
      </c>
      <c r="Z1" s="24" t="s">
        <v>16</v>
      </c>
      <c r="AA1" s="24" t="s">
        <v>17</v>
      </c>
      <c r="AB1" s="24" t="s">
        <v>19</v>
      </c>
      <c r="AC1" s="128" t="s">
        <v>39</v>
      </c>
      <c r="AD1" s="129" t="s">
        <v>40</v>
      </c>
      <c r="AE1" s="26" t="s">
        <v>41</v>
      </c>
    </row>
    <row r="2" customFormat="false" ht="15.75" hidden="false" customHeight="true" outlineLevel="0" collapsed="false">
      <c r="A2" s="130"/>
      <c r="B2" s="131" t="s">
        <v>173</v>
      </c>
      <c r="C2" s="132" t="str">
        <f aca="false">TRIM(LEFT(B2,FIND(" x ",B2)-1))</f>
        <v>Vencedor Oitava 1</v>
      </c>
      <c r="D2" s="132" t="str">
        <f aca="false">TRIM(MID(B2,FIND(" x ",B2)+3,100))</f>
        <v>Vencedor Oitava 2</v>
      </c>
      <c r="E2" s="133" t="s">
        <v>162</v>
      </c>
      <c r="F2" s="134"/>
      <c r="G2" s="135"/>
      <c r="H2" s="136"/>
      <c r="I2" s="155"/>
      <c r="J2" s="156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39" t="str">
        <f aca="false">IFERROR(VALUE(TRIM(LEFT($E2,SEARCH("x",$E2)-1))),"")</f>
        <v/>
      </c>
      <c r="AD2" s="44" t="str">
        <f aca="false">IFERROR(VALUE(TRIM(MID($E2,SEARCH("x",$E2)+1,10))),"")</f>
        <v/>
      </c>
      <c r="AE2" s="120" t="str">
        <f aca="false">IF(OR($AC2="",$AD2=""),"",IF($AC2&gt;$AD2,"A",IF($AC2&lt;$AD2,"B","E")))</f>
        <v/>
      </c>
    </row>
    <row r="3" customFormat="false" ht="15.75" hidden="false" customHeight="true" outlineLevel="0" collapsed="false">
      <c r="A3" s="140"/>
      <c r="B3" s="141" t="s">
        <v>174</v>
      </c>
      <c r="C3" s="63" t="str">
        <f aca="false">TRIM(LEFT(B3,FIND(" x ",B3)-1))</f>
        <v>Vencedor Oitava 3</v>
      </c>
      <c r="D3" s="63" t="str">
        <f aca="false">TRIM(MID(B3,FIND(" x ",B3)+3,100))</f>
        <v>Vencedor Oitava 4</v>
      </c>
      <c r="E3" s="133" t="s">
        <v>162</v>
      </c>
      <c r="F3" s="134"/>
      <c r="G3" s="135"/>
      <c r="H3" s="142"/>
      <c r="I3" s="157"/>
      <c r="J3" s="158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43" t="str">
        <f aca="false">IFERROR(VALUE(TRIM(LEFT($E3,SEARCH("x",$E3)-1))),"")</f>
        <v/>
      </c>
      <c r="AD3" s="144" t="str">
        <f aca="false">IFERROR(VALUE(TRIM(MID($E3,SEARCH("x",$E3)+1,10))),"")</f>
        <v/>
      </c>
      <c r="AE3" s="145" t="str">
        <f aca="false">IF(OR($AC3="",$AD3=""),"",IF($AC3&gt;$AD3,"A",IF($AC3&lt;$AD3,"B","E")))</f>
        <v/>
      </c>
    </row>
    <row r="4" customFormat="false" ht="15.75" hidden="false" customHeight="true" outlineLevel="0" collapsed="false">
      <c r="B4" s="28" t="s">
        <v>175</v>
      </c>
      <c r="C4" s="29" t="str">
        <f aca="false">TRIM(LEFT(B4,FIND(" x ",B4)-1))</f>
        <v>Vencedor Oitava 5</v>
      </c>
      <c r="D4" s="29" t="str">
        <f aca="false">TRIM(MID(B4,FIND(" x ",B4)+3,100))</f>
        <v>Vencedor Oitava 6</v>
      </c>
      <c r="E4" s="146" t="s">
        <v>162</v>
      </c>
      <c r="F4" s="134"/>
      <c r="G4" s="135"/>
      <c r="H4" s="142"/>
      <c r="I4" s="159"/>
      <c r="J4" s="160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  <c r="AA4" s="159"/>
      <c r="AB4" s="159"/>
      <c r="AC4" s="147" t="str">
        <f aca="false">IFERROR(VALUE(TRIM(LEFT($E4,SEARCH("x",$E4)-1))),"")</f>
        <v/>
      </c>
      <c r="AD4" s="148" t="str">
        <f aca="false">IFERROR(VALUE(TRIM(MID($E4,SEARCH("x",$E4)+1,10))),"")</f>
        <v/>
      </c>
      <c r="AE4" s="149" t="str">
        <f aca="false">IF(OR($AC4="",$AD4=""),"",IF($AC4&gt;$AD4,"A",IF($AC4&lt;$AD4,"B","E")))</f>
        <v/>
      </c>
    </row>
    <row r="5" customFormat="false" ht="15.75" hidden="false" customHeight="true" outlineLevel="0" collapsed="false">
      <c r="B5" s="131" t="s">
        <v>176</v>
      </c>
      <c r="C5" s="132" t="str">
        <f aca="false">TRIM(LEFT(B5,FIND(" x ",B5)-1))</f>
        <v>Vencedor Oitava 7</v>
      </c>
      <c r="D5" s="132" t="str">
        <f aca="false">TRIM(MID(B5,FIND(" x ",B5)+3,100))</f>
        <v>Vencedor Oitava 8</v>
      </c>
      <c r="E5" s="146" t="s">
        <v>162</v>
      </c>
      <c r="F5" s="134"/>
      <c r="G5" s="135"/>
      <c r="H5" s="136"/>
      <c r="I5" s="161"/>
      <c r="J5" s="162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50" t="str">
        <f aca="false">IFERROR(VALUE(TRIM(LEFT($E5,SEARCH("x",$E5)-1))),"")</f>
        <v/>
      </c>
      <c r="AD5" s="151" t="str">
        <f aca="false">IFERROR(VALUE(TRIM(MID($E5,SEARCH("x",$E5)+1,10))),"")</f>
        <v/>
      </c>
      <c r="AE5" s="152" t="str">
        <f aca="false">IF(OR($AC5="",$AD5=""),"",IF($AC5&gt;$AD5,"A",IF($AC5&lt;$AD5,"B","E")))</f>
        <v/>
      </c>
    </row>
    <row r="6" customFormat="false" ht="15.75" hidden="false" customHeight="true" outlineLevel="0" collapsed="false">
      <c r="H6" s="153" t="s">
        <v>144</v>
      </c>
      <c r="I6" s="154" t="n">
        <f aca="false" t="array" ref="I6:I6">SUMPRODUCT(--(UPPER(I2:I5)=$AE$2:$AE$5),--($AE$2:$AE$5&lt;&gt;""))+'MATA-MATA 16'!I10</f>
        <v>52</v>
      </c>
      <c r="J6" s="122" t="n">
        <f aca="false" t="array" ref="J6:J6">SUMPRODUCT(--(UPPER(J2:J5)=$AE$2:$AE$5),--($AE$2:$AE$5&lt;&gt;""))+'MATA-MATA 16'!J10</f>
        <v>51</v>
      </c>
      <c r="K6" s="122" t="n">
        <f aca="false" t="array" ref="K6:K6">SUMPRODUCT(--(UPPER(K2:K5)=$AE$2:$AE$5),--($AE$2:$AE$5&lt;&gt;""))+'MATA-MATA 16'!K10</f>
        <v>51</v>
      </c>
      <c r="L6" s="122" t="n">
        <f aca="false" t="array" ref="L6:L6">SUMPRODUCT(--(UPPER(L2:L5)=$AE$2:$AE$5),--($AE$2:$AE$5&lt;&gt;""))+'MATA-MATA 16'!L10</f>
        <v>53</v>
      </c>
      <c r="M6" s="122" t="n">
        <f aca="false" t="array" ref="M6:M6">SUMPRODUCT(--(UPPER(M2:M5)=$AE$2:$AE$5),--($AE$2:$AE$5&lt;&gt;""))+'MATA-MATA 16'!M10</f>
        <v>48</v>
      </c>
      <c r="N6" s="122" t="n">
        <f aca="false" t="array" ref="N6:N6">SUMPRODUCT(--(UPPER(N2:N5)=$AE$2:$AE$5),--($AE$2:$AE$5&lt;&gt;""))+'MATA-MATA 16'!N10</f>
        <v>49</v>
      </c>
      <c r="O6" s="122" t="n">
        <f aca="false" t="array" ref="O6:O6">SUMPRODUCT(--(UPPER(O2:O5)=$AE$2:$AE$5),--($AE$2:$AE$5&lt;&gt;""))+'MATA-MATA 16'!O10</f>
        <v>54</v>
      </c>
      <c r="P6" s="122" t="n">
        <f aca="false" t="array" ref="P6:P6">SUMPRODUCT(--(UPPER(P2:P5)=$AE$2:$AE$5),--($AE$2:$AE$5&lt;&gt;""))+'MATA-MATA 16'!P10</f>
        <v>57</v>
      </c>
      <c r="Q6" s="122" t="n">
        <f aca="false" t="array" ref="Q6:Q6">SUMPRODUCT(--(UPPER(Q2:Q5)=$AE$2:$AE$5),--($AE$2:$AE$5&lt;&gt;""))+'MATA-MATA 16'!Q10</f>
        <v>47</v>
      </c>
      <c r="R6" s="122" t="n">
        <f aca="false" t="array" ref="R6:R6">SUMPRODUCT(--(UPPER(R2:R5)=$AE$2:$AE$5),--($AE$2:$AE$5&lt;&gt;""))+'MATA-MATA 16'!R10</f>
        <v>50</v>
      </c>
      <c r="S6" s="122" t="n">
        <f aca="false" t="array" ref="S6:S6">SUMPRODUCT(--(UPPER(S2:S5)=$AE$2:$AE$5),--($AE$2:$AE$5&lt;&gt;""))+'MATA-MATA 16'!S10</f>
        <v>47</v>
      </c>
      <c r="T6" s="122" t="n">
        <f aca="false" t="array" ref="T6:T6">SUMPRODUCT(--(UPPER(T2:T5)=$AE$2:$AE$5),--($AE$2:$AE$5&lt;&gt;""))+'MATA-MATA 16'!T10</f>
        <v>42</v>
      </c>
      <c r="U6" s="122" t="n">
        <f aca="false" t="array" ref="U6:U6">SUMPRODUCT(--(UPPER(U2:U5)=$AE$2:$AE$5),--($AE$2:$AE$5&lt;&gt;""))+'MATA-MATA 16'!U10</f>
        <v>44</v>
      </c>
      <c r="V6" s="122" t="n">
        <f aca="false" t="array" ref="V6:V6">SUMPRODUCT(--(UPPER(V2:V5)=$AE$2:$AE$5),--($AE$2:$AE$5&lt;&gt;""))+'MATA-MATA 16'!V10</f>
        <v>47</v>
      </c>
      <c r="W6" s="122" t="n">
        <f aca="false" t="array" ref="W6:W6">SUMPRODUCT(--(UPPER(W2:W5)=$AE$2:$AE$5),--($AE$2:$AE$5&lt;&gt;""))+'MATA-MATA 16'!W10</f>
        <v>50</v>
      </c>
      <c r="X6" s="122" t="n">
        <f aca="false" t="array" ref="X6:X6">SUMPRODUCT(--(UPPER(X2:X5)=$AE$2:$AE$5),--($AE$2:$AE$5&lt;&gt;""))+'MATA-MATA 16'!X10</f>
        <v>47</v>
      </c>
      <c r="Y6" s="122" t="n">
        <f aca="false" t="array" ref="Y6:Y6">SUMPRODUCT(--(UPPER(Y2:Y5)=$AE$2:$AE$5),--($AE$2:$AE$5&lt;&gt;""))+'MATA-MATA 16'!Y10</f>
        <v>46</v>
      </c>
      <c r="Z6" s="122" t="n">
        <f aca="false" t="array" ref="Z6:Z6">SUMPRODUCT(--(UPPER(Z2:Z5)=$AE$2:$AE$5),--($AE$2:$AE$5&lt;&gt;""))+'MATA-MATA 16'!Z10</f>
        <v>46</v>
      </c>
      <c r="AA6" s="122" t="n">
        <f aca="false" t="array" ref="AA6:AA6">SUMPRODUCT(--(UPPER(AA2:AA5)=$AE$2:$AE$5),--($AE$2:$AE$5&lt;&gt;""))+'MATA-MATA 16'!AA10</f>
        <v>48</v>
      </c>
      <c r="AB6" s="122" t="n">
        <f aca="false" t="array" ref="AB6:AB6">SUMPRODUCT(--(UPPER(AB2:AB5)=$AE$2:$AE$5),--($AE$2:$AE$5&lt;&gt;""))+'MATA-MATA 16'!AB10</f>
        <v>41</v>
      </c>
    </row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</sheetData>
  <conditionalFormatting sqref="I2:AB5">
    <cfRule type="expression" priority="2" aboveAverage="0" equalAverage="0" bottom="0" percent="0" rank="0" text="" dxfId="18">
      <formula>AND($AE2&lt;&gt;"",I2=$AE2)</formula>
    </cfRule>
    <cfRule type="expression" priority="3" aboveAverage="0" equalAverage="0" bottom="0" percent="0" rank="0" text="" dxfId="19">
      <formula>AND($AE2&lt;&gt;"",I2&lt;&gt;"",I2&lt;&gt;$AE2)</formula>
    </cfRule>
  </conditionalFormatting>
  <dataValidations count="1">
    <dataValidation allowBlank="true" errorStyle="stop" operator="between" showDropDown="false" showErrorMessage="false" showInputMessage="false" sqref="I2:AB5" type="list">
      <formula1>"A,B,E"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32.43"/>
    <col collapsed="false" customWidth="true" hidden="false" outlineLevel="0" max="4" min="3" style="0" width="20.57"/>
    <col collapsed="false" customWidth="true" hidden="false" outlineLevel="0" max="6" min="5" style="0" width="12.57"/>
    <col collapsed="false" customWidth="true" hidden="false" outlineLevel="0" max="7" min="7" style="0" width="14.29"/>
    <col collapsed="false" customWidth="true" hidden="false" outlineLevel="0" max="8" min="8" style="0" width="6"/>
    <col collapsed="false" customWidth="true" hidden="false" outlineLevel="0" max="31" min="9" style="0" width="16.43"/>
  </cols>
  <sheetData>
    <row r="1" customFormat="false" ht="16.5" hidden="false" customHeight="true" outlineLevel="0" collapsed="false">
      <c r="A1" s="123" t="s">
        <v>30</v>
      </c>
      <c r="B1" s="19" t="s">
        <v>31</v>
      </c>
      <c r="C1" s="20" t="s">
        <v>32</v>
      </c>
      <c r="D1" s="20" t="s">
        <v>33</v>
      </c>
      <c r="E1" s="21" t="s">
        <v>34</v>
      </c>
      <c r="F1" s="124" t="s">
        <v>145</v>
      </c>
      <c r="G1" s="125" t="s">
        <v>146</v>
      </c>
      <c r="H1" s="126"/>
      <c r="I1" s="24" t="s">
        <v>3</v>
      </c>
      <c r="J1" s="127" t="s">
        <v>5</v>
      </c>
      <c r="K1" s="24" t="s">
        <v>6</v>
      </c>
      <c r="L1" s="24" t="s">
        <v>35</v>
      </c>
      <c r="M1" s="24" t="s">
        <v>7</v>
      </c>
      <c r="N1" s="24" t="s">
        <v>36</v>
      </c>
      <c r="O1" s="24" t="s">
        <v>8</v>
      </c>
      <c r="P1" s="24" t="s">
        <v>9</v>
      </c>
      <c r="Q1" s="24" t="s">
        <v>18</v>
      </c>
      <c r="R1" s="24" t="s">
        <v>10</v>
      </c>
      <c r="S1" s="24" t="s">
        <v>37</v>
      </c>
      <c r="T1" s="24" t="s">
        <v>11</v>
      </c>
      <c r="U1" s="24" t="s">
        <v>12</v>
      </c>
      <c r="V1" s="24" t="s">
        <v>13</v>
      </c>
      <c r="W1" s="24" t="s">
        <v>38</v>
      </c>
      <c r="X1" s="24" t="s">
        <v>14</v>
      </c>
      <c r="Y1" s="24" t="s">
        <v>15</v>
      </c>
      <c r="Z1" s="24" t="s">
        <v>16</v>
      </c>
      <c r="AA1" s="24" t="s">
        <v>17</v>
      </c>
      <c r="AB1" s="24" t="s">
        <v>19</v>
      </c>
      <c r="AC1" s="128" t="s">
        <v>39</v>
      </c>
      <c r="AD1" s="129" t="s">
        <v>40</v>
      </c>
      <c r="AE1" s="26" t="s">
        <v>41</v>
      </c>
    </row>
    <row r="2" customFormat="false" ht="15.75" hidden="false" customHeight="true" outlineLevel="0" collapsed="false">
      <c r="A2" s="130"/>
      <c r="B2" s="131" t="s">
        <v>177</v>
      </c>
      <c r="C2" s="132" t="str">
        <f aca="false">TRIM(LEFT(B2,FIND(" x ",B2)-1))</f>
        <v>Vencedor Quarta 1</v>
      </c>
      <c r="D2" s="132" t="str">
        <f aca="false">TRIM(MID(B2,FIND(" x ",B2)+3,100))</f>
        <v>Vencedor Quarta 2</v>
      </c>
      <c r="E2" s="133" t="s">
        <v>162</v>
      </c>
      <c r="F2" s="134"/>
      <c r="G2" s="135"/>
      <c r="H2" s="136"/>
      <c r="I2" s="155"/>
      <c r="J2" s="156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39" t="str">
        <f aca="false">IFERROR(VALUE(TRIM(LEFT($E2,SEARCH("x",$E2)-1))),"")</f>
        <v/>
      </c>
      <c r="AD2" s="44" t="str">
        <f aca="false">IFERROR(VALUE(TRIM(MID($E2,SEARCH("x",$E2)+1,10))),"")</f>
        <v/>
      </c>
      <c r="AE2" s="120" t="str">
        <f aca="false">IF(OR($AC2="",$AD2=""),"",IF($AC2&gt;$AD2,"A",IF($AC2&lt;$AD2,"B","E")))</f>
        <v/>
      </c>
    </row>
    <row r="3" customFormat="false" ht="15.75" hidden="false" customHeight="true" outlineLevel="0" collapsed="false">
      <c r="A3" s="140"/>
      <c r="B3" s="141" t="s">
        <v>178</v>
      </c>
      <c r="C3" s="63" t="str">
        <f aca="false">TRIM(LEFT(B3,FIND(" x ",B3)-1))</f>
        <v>Vencedor Quarta 3</v>
      </c>
      <c r="D3" s="63" t="str">
        <f aca="false">TRIM(MID(B3,FIND(" x ",B3)+3,100))</f>
        <v>Vencedor Quarta 4</v>
      </c>
      <c r="E3" s="133" t="s">
        <v>162</v>
      </c>
      <c r="F3" s="134"/>
      <c r="G3" s="135"/>
      <c r="H3" s="142"/>
      <c r="I3" s="157"/>
      <c r="J3" s="158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43" t="str">
        <f aca="false">IFERROR(VALUE(TRIM(LEFT($E3,SEARCH("x",$E3)-1))),"")</f>
        <v/>
      </c>
      <c r="AD3" s="144" t="str">
        <f aca="false">IFERROR(VALUE(TRIM(MID($E3,SEARCH("x",$E3)+1,10))),"")</f>
        <v/>
      </c>
      <c r="AE3" s="145" t="str">
        <f aca="false">IF(OR($AC3="",$AD3=""),"",IF($AC3&gt;$AD3,"A",IF($AC3&lt;$AD3,"B","E")))</f>
        <v/>
      </c>
    </row>
    <row r="4" customFormat="false" ht="15.75" hidden="false" customHeight="true" outlineLevel="0" collapsed="false">
      <c r="H4" s="153" t="s">
        <v>144</v>
      </c>
      <c r="I4" s="154" t="n">
        <f aca="false" t="array" ref="I4:I4">SUMPRODUCT(--(UPPER(I2:I3)=$AE$2:$AE$3),--($AE$2:$AE$3&lt;&gt;""))+'MATA-MATA 8'!I6</f>
        <v>52</v>
      </c>
      <c r="J4" s="122" t="n">
        <f aca="false" t="array" ref="J4:J4">SUMPRODUCT(--(UPPER(J2:J3)=$AE$2:$AE$3),--($AE$2:$AE$3&lt;&gt;""))+'MATA-MATA 8'!J6</f>
        <v>51</v>
      </c>
      <c r="K4" s="122" t="n">
        <f aca="false" t="array" ref="K4:K4">SUMPRODUCT(--(UPPER(K2:K3)=$AE$2:$AE$3),--($AE$2:$AE$3&lt;&gt;""))+'MATA-MATA 8'!K6</f>
        <v>51</v>
      </c>
      <c r="L4" s="122" t="n">
        <f aca="false" t="array" ref="L4:L4">SUMPRODUCT(--(UPPER(L2:L3)=$AE$2:$AE$3),--($AE$2:$AE$3&lt;&gt;""))+'MATA-MATA 8'!L6</f>
        <v>53</v>
      </c>
      <c r="M4" s="122" t="n">
        <f aca="false" t="array" ref="M4:M4">SUMPRODUCT(--(UPPER(M2:M3)=$AE$2:$AE$3),--($AE$2:$AE$3&lt;&gt;""))+'MATA-MATA 8'!M6</f>
        <v>48</v>
      </c>
      <c r="N4" s="122" t="n">
        <f aca="false" t="array" ref="N4:N4">SUMPRODUCT(--(UPPER(N2:N3)=$AE$2:$AE$3),--($AE$2:$AE$3&lt;&gt;""))+'MATA-MATA 8'!N6</f>
        <v>49</v>
      </c>
      <c r="O4" s="122" t="n">
        <f aca="false" t="array" ref="O4:O4">SUMPRODUCT(--(UPPER(O2:O3)=$AE$2:$AE$3),--($AE$2:$AE$3&lt;&gt;""))+'MATA-MATA 8'!O6</f>
        <v>54</v>
      </c>
      <c r="P4" s="122" t="n">
        <f aca="false" t="array" ref="P4:P4">SUMPRODUCT(--(UPPER(P2:P3)=$AE$2:$AE$3),--($AE$2:$AE$3&lt;&gt;""))+'MATA-MATA 8'!P6</f>
        <v>57</v>
      </c>
      <c r="Q4" s="122" t="n">
        <f aca="false" t="array" ref="Q4:Q4">SUMPRODUCT(--(UPPER(Q2:Q3)=$AE$2:$AE$3),--($AE$2:$AE$3&lt;&gt;""))+'MATA-MATA 8'!Q6</f>
        <v>47</v>
      </c>
      <c r="R4" s="122" t="n">
        <f aca="false" t="array" ref="R4:R4">SUMPRODUCT(--(UPPER(R2:R3)=$AE$2:$AE$3),--($AE$2:$AE$3&lt;&gt;""))+'MATA-MATA 8'!R6</f>
        <v>50</v>
      </c>
      <c r="S4" s="122" t="n">
        <f aca="false" t="array" ref="S4:S4">SUMPRODUCT(--(UPPER(S2:S3)=$AE$2:$AE$3),--($AE$2:$AE$3&lt;&gt;""))+'MATA-MATA 8'!S6</f>
        <v>47</v>
      </c>
      <c r="T4" s="122" t="n">
        <f aca="false" t="array" ref="T4:T4">SUMPRODUCT(--(UPPER(T2:T3)=$AE$2:$AE$3),--($AE$2:$AE$3&lt;&gt;""))+'MATA-MATA 8'!T6</f>
        <v>42</v>
      </c>
      <c r="U4" s="122" t="n">
        <f aca="false" t="array" ref="U4:U4">SUMPRODUCT(--(UPPER(U2:U3)=$AE$2:$AE$3),--($AE$2:$AE$3&lt;&gt;""))+'MATA-MATA 8'!U6</f>
        <v>44</v>
      </c>
      <c r="V4" s="122" t="n">
        <f aca="false" t="array" ref="V4:V4">SUMPRODUCT(--(UPPER(V2:V3)=$AE$2:$AE$3),--($AE$2:$AE$3&lt;&gt;""))+'MATA-MATA 8'!V6</f>
        <v>47</v>
      </c>
      <c r="W4" s="122" t="n">
        <f aca="false" t="array" ref="W4:W4">SUMPRODUCT(--(UPPER(W2:W3)=$AE$2:$AE$3),--($AE$2:$AE$3&lt;&gt;""))+'MATA-MATA 8'!W6</f>
        <v>50</v>
      </c>
      <c r="X4" s="122" t="n">
        <f aca="false" t="array" ref="X4:X4">SUMPRODUCT(--(UPPER(X2:X3)=$AE$2:$AE$3),--($AE$2:$AE$3&lt;&gt;""))+'MATA-MATA 8'!X6</f>
        <v>47</v>
      </c>
      <c r="Y4" s="122" t="n">
        <f aca="false" t="array" ref="Y4:Y4">SUMPRODUCT(--(UPPER(Y2:Y3)=$AE$2:$AE$3),--($AE$2:$AE$3&lt;&gt;""))+'MATA-MATA 8'!Y6</f>
        <v>46</v>
      </c>
      <c r="Z4" s="122" t="n">
        <f aca="false" t="array" ref="Z4:Z4">SUMPRODUCT(--(UPPER(Z2:Z3)=$AE$2:$AE$3),--($AE$2:$AE$3&lt;&gt;""))+'MATA-MATA 8'!Z6</f>
        <v>46</v>
      </c>
      <c r="AA4" s="122" t="n">
        <f aca="false" t="array" ref="AA4:AA4">SUMPRODUCT(--(UPPER(AA2:AA3)=$AE$2:$AE$3),--($AE$2:$AE$3&lt;&gt;""))+'MATA-MATA 8'!AA6</f>
        <v>48</v>
      </c>
      <c r="AB4" s="122" t="n">
        <f aca="false" t="array" ref="AB4:AB4">SUMPRODUCT(--(UPPER(AB2:AB3)=$AE$2:$AE$3),--($AE$2:$AE$3&lt;&gt;""))+'MATA-MATA 8'!AB6</f>
        <v>41</v>
      </c>
    </row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</sheetData>
  <conditionalFormatting sqref="I2:AB3">
    <cfRule type="expression" priority="2" aboveAverage="0" equalAverage="0" bottom="0" percent="0" rank="0" text="" dxfId="20">
      <formula>AND($AE2&lt;&gt;"",I2=$AE2)</formula>
    </cfRule>
    <cfRule type="expression" priority="3" aboveAverage="0" equalAverage="0" bottom="0" percent="0" rank="0" text="" dxfId="21">
      <formula>AND($AE2&lt;&gt;"",I2&lt;&gt;"",I2&lt;&gt;$AE2)</formula>
    </cfRule>
  </conditionalFormatting>
  <dataValidations count="1">
    <dataValidation allowBlank="true" errorStyle="stop" operator="between" showDropDown="false" showErrorMessage="false" showInputMessage="false" sqref="I2:AB3" type="list">
      <formula1>"A,B,E"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32.43"/>
    <col collapsed="false" customWidth="true" hidden="false" outlineLevel="0" max="4" min="3" style="0" width="20.57"/>
    <col collapsed="false" customWidth="true" hidden="false" outlineLevel="0" max="6" min="5" style="0" width="12.57"/>
    <col collapsed="false" customWidth="true" hidden="false" outlineLevel="0" max="7" min="7" style="0" width="14.29"/>
    <col collapsed="false" customWidth="true" hidden="false" outlineLevel="0" max="8" min="8" style="0" width="6"/>
    <col collapsed="false" customWidth="true" hidden="false" outlineLevel="0" max="31" min="9" style="0" width="16.43"/>
  </cols>
  <sheetData>
    <row r="1" customFormat="false" ht="16.5" hidden="false" customHeight="true" outlineLevel="0" collapsed="false">
      <c r="A1" s="123" t="s">
        <v>30</v>
      </c>
      <c r="B1" s="19" t="s">
        <v>31</v>
      </c>
      <c r="C1" s="20" t="s">
        <v>32</v>
      </c>
      <c r="D1" s="20" t="s">
        <v>33</v>
      </c>
      <c r="E1" s="21" t="s">
        <v>34</v>
      </c>
      <c r="F1" s="124" t="s">
        <v>145</v>
      </c>
      <c r="G1" s="125" t="s">
        <v>146</v>
      </c>
      <c r="H1" s="126"/>
      <c r="I1" s="24" t="s">
        <v>3</v>
      </c>
      <c r="J1" s="127" t="s">
        <v>5</v>
      </c>
      <c r="K1" s="24" t="s">
        <v>6</v>
      </c>
      <c r="L1" s="24" t="s">
        <v>35</v>
      </c>
      <c r="M1" s="24" t="s">
        <v>7</v>
      </c>
      <c r="N1" s="24" t="s">
        <v>36</v>
      </c>
      <c r="O1" s="24" t="s">
        <v>8</v>
      </c>
      <c r="P1" s="24" t="s">
        <v>9</v>
      </c>
      <c r="Q1" s="24" t="s">
        <v>18</v>
      </c>
      <c r="R1" s="24" t="s">
        <v>10</v>
      </c>
      <c r="S1" s="24" t="s">
        <v>37</v>
      </c>
      <c r="T1" s="24" t="s">
        <v>11</v>
      </c>
      <c r="U1" s="24" t="s">
        <v>12</v>
      </c>
      <c r="V1" s="24" t="s">
        <v>13</v>
      </c>
      <c r="W1" s="24" t="s">
        <v>38</v>
      </c>
      <c r="X1" s="24" t="s">
        <v>14</v>
      </c>
      <c r="Y1" s="24" t="s">
        <v>15</v>
      </c>
      <c r="Z1" s="24" t="s">
        <v>16</v>
      </c>
      <c r="AA1" s="24" t="s">
        <v>17</v>
      </c>
      <c r="AB1" s="24" t="s">
        <v>19</v>
      </c>
      <c r="AC1" s="128" t="s">
        <v>39</v>
      </c>
      <c r="AD1" s="129" t="s">
        <v>40</v>
      </c>
      <c r="AE1" s="26" t="s">
        <v>41</v>
      </c>
    </row>
    <row r="2" customFormat="false" ht="15.75" hidden="false" customHeight="true" outlineLevel="0" collapsed="false">
      <c r="A2" s="130"/>
      <c r="B2" s="131" t="s">
        <v>179</v>
      </c>
      <c r="C2" s="132" t="str">
        <f aca="false">TRIM(LEFT(B2,FIND(" x ",B2)-1))</f>
        <v>Vencedor Semifinal 1</v>
      </c>
      <c r="D2" s="132" t="str">
        <f aca="false">TRIM(MID(B2,FIND(" x ",B2)+3,100))</f>
        <v>Vencedor Semifinal 2</v>
      </c>
      <c r="E2" s="133" t="s">
        <v>162</v>
      </c>
      <c r="F2" s="134"/>
      <c r="G2" s="135"/>
      <c r="H2" s="136"/>
      <c r="I2" s="155"/>
      <c r="J2" s="156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39" t="str">
        <f aca="false">IFERROR(VALUE(TRIM(LEFT($E2,SEARCH("x",$E2)-1))),"")</f>
        <v/>
      </c>
      <c r="AD2" s="44" t="str">
        <f aca="false">IFERROR(VALUE(TRIM(MID($E2,SEARCH("x",$E2)+1,10))),"")</f>
        <v/>
      </c>
      <c r="AE2" s="120" t="str">
        <f aca="false">IF(OR($AC2="",$AD2=""),"",IF($AC2&gt;$AD2,"A",IF($AC2&lt;$AD2,"B","E")))</f>
        <v/>
      </c>
    </row>
    <row r="3" customFormat="false" ht="15.75" hidden="false" customHeight="true" outlineLevel="0" collapsed="false">
      <c r="H3" s="153" t="s">
        <v>144</v>
      </c>
      <c r="I3" s="154" t="n">
        <f aca="false" t="array" ref="I3:I3">SUMPRODUCT(--(UPPER(I2:I2)=$AE$2:$AE$2),--($AE$2:$AE$2&lt;&gt;""))+'MATA-MATA 4'!I4</f>
        <v>52</v>
      </c>
      <c r="J3" s="122" t="n">
        <f aca="false" t="array" ref="J3:J3">SUMPRODUCT(--(UPPER(J2:J2)=$AE$2:$AE$2),--($AE$2:$AE$2&lt;&gt;""))+'MATA-MATA 4'!J4</f>
        <v>51</v>
      </c>
      <c r="K3" s="122" t="n">
        <f aca="false" t="array" ref="K3:K3">SUMPRODUCT(--(UPPER(K2:K2)=$AE$2:$AE$2),--($AE$2:$AE$2&lt;&gt;""))+'MATA-MATA 4'!K4</f>
        <v>51</v>
      </c>
      <c r="L3" s="122" t="n">
        <f aca="false" t="array" ref="L3:L3">SUMPRODUCT(--(UPPER(L2:L2)=$AE$2:$AE$2),--($AE$2:$AE$2&lt;&gt;""))+'MATA-MATA 4'!L4</f>
        <v>53</v>
      </c>
      <c r="M3" s="122" t="n">
        <f aca="false" t="array" ref="M3:M3">SUMPRODUCT(--(UPPER(M2:M2)=$AE$2:$AE$2),--($AE$2:$AE$2&lt;&gt;""))+'MATA-MATA 4'!M4</f>
        <v>48</v>
      </c>
      <c r="N3" s="122" t="n">
        <f aca="false" t="array" ref="N3:N3">SUMPRODUCT(--(UPPER(N2:N2)=$AE$2:$AE$2),--($AE$2:$AE$2&lt;&gt;""))+'MATA-MATA 4'!N4</f>
        <v>49</v>
      </c>
      <c r="O3" s="122" t="n">
        <f aca="false" t="array" ref="O3:O3">SUMPRODUCT(--(UPPER(O2:O2)=$AE$2:$AE$2),--($AE$2:$AE$2&lt;&gt;""))+'MATA-MATA 4'!O4</f>
        <v>54</v>
      </c>
      <c r="P3" s="122" t="n">
        <f aca="false" t="array" ref="P3:P3">SUMPRODUCT(--(UPPER(P2:P2)=$AE$2:$AE$2),--($AE$2:$AE$2&lt;&gt;""))+'MATA-MATA 4'!P4</f>
        <v>57</v>
      </c>
      <c r="Q3" s="122" t="n">
        <f aca="false" t="array" ref="Q3:Q3">SUMPRODUCT(--(UPPER(Q2:Q2)=$AE$2:$AE$2),--($AE$2:$AE$2&lt;&gt;""))+'MATA-MATA 4'!Q4</f>
        <v>47</v>
      </c>
      <c r="R3" s="122" t="n">
        <f aca="false" t="array" ref="R3:R3">SUMPRODUCT(--(UPPER(R2:R2)=$AE$2:$AE$2),--($AE$2:$AE$2&lt;&gt;""))+'MATA-MATA 4'!R4</f>
        <v>50</v>
      </c>
      <c r="S3" s="122" t="n">
        <f aca="false" t="array" ref="S3:S3">SUMPRODUCT(--(UPPER(S2:S2)=$AE$2:$AE$2),--($AE$2:$AE$2&lt;&gt;""))+'MATA-MATA 4'!S4</f>
        <v>47</v>
      </c>
      <c r="T3" s="122" t="n">
        <f aca="false" t="array" ref="T3:T3">SUMPRODUCT(--(UPPER(T2:T2)=$AE$2:$AE$2),--($AE$2:$AE$2&lt;&gt;""))+'MATA-MATA 4'!T4</f>
        <v>42</v>
      </c>
      <c r="U3" s="122" t="n">
        <f aca="false" t="array" ref="U3:U3">SUMPRODUCT(--(UPPER(U2:U2)=$AE$2:$AE$2),--($AE$2:$AE$2&lt;&gt;""))+'MATA-MATA 4'!U4</f>
        <v>44</v>
      </c>
      <c r="V3" s="122" t="n">
        <f aca="false" t="array" ref="V3:V3">SUMPRODUCT(--(UPPER(V2:V2)=$AE$2:$AE$2),--($AE$2:$AE$2&lt;&gt;""))+'MATA-MATA 4'!V4</f>
        <v>47</v>
      </c>
      <c r="W3" s="122" t="n">
        <f aca="false" t="array" ref="W3:W3">SUMPRODUCT(--(UPPER(W2:W2)=$AE$2:$AE$2),--($AE$2:$AE$2&lt;&gt;""))+'MATA-MATA 4'!W4</f>
        <v>50</v>
      </c>
      <c r="X3" s="122" t="n">
        <f aca="false" t="array" ref="X3:X3">SUMPRODUCT(--(UPPER(X2:X2)=$AE$2:$AE$2),--($AE$2:$AE$2&lt;&gt;""))+'MATA-MATA 4'!X4</f>
        <v>47</v>
      </c>
      <c r="Y3" s="122" t="n">
        <f aca="false" t="array" ref="Y3:Y3">SUMPRODUCT(--(UPPER(Y2:Y2)=$AE$2:$AE$2),--($AE$2:$AE$2&lt;&gt;""))+'MATA-MATA 4'!Y4</f>
        <v>46</v>
      </c>
      <c r="Z3" s="122" t="n">
        <f aca="false" t="array" ref="Z3:Z3">SUMPRODUCT(--(UPPER(Z2:Z2)=$AE$2:$AE$2),--($AE$2:$AE$2&lt;&gt;""))+'MATA-MATA 4'!Z4</f>
        <v>46</v>
      </c>
      <c r="AA3" s="122" t="n">
        <f aca="false" t="array" ref="AA3:AA3">SUMPRODUCT(--(UPPER(AA2:AA2)=$AE$2:$AE$2),--($AE$2:$AE$2&lt;&gt;""))+'MATA-MATA 4'!AA4</f>
        <v>48</v>
      </c>
      <c r="AB3" s="122" t="n">
        <f aca="false" t="array" ref="AB3:AB3">SUMPRODUCT(--(UPPER(AB2:AB2)=$AE$2:$AE$2),--($AE$2:$AE$2&lt;&gt;""))+'MATA-MATA 4'!AB4</f>
        <v>41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</sheetData>
  <conditionalFormatting sqref="I2:AB2">
    <cfRule type="expression" priority="2" aboveAverage="0" equalAverage="0" bottom="0" percent="0" rank="0" text="" dxfId="22">
      <formula>AND($AE2&lt;&gt;"",I2=$AE2)</formula>
    </cfRule>
    <cfRule type="expression" priority="3" aboveAverage="0" equalAverage="0" bottom="0" percent="0" rank="0" text="" dxfId="23">
      <formula>AND($AE2&lt;&gt;"",I2&lt;&gt;"",I2&lt;&gt;$AE2)</formula>
    </cfRule>
  </conditionalFormatting>
  <dataValidations count="1">
    <dataValidation allowBlank="true" errorStyle="stop" operator="between" showDropDown="false" showErrorMessage="false" showInputMessage="false" sqref="I2:AB2" type="list">
      <formula1>"A,B,E"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2026-06-10T21:13:32Z</dcterms:created>
  <dc:creator>CHRISTIAN BOMFIM BRANCO</dc:creator>
  <dc:description/>
  <dc:language>en-US</dc:language>
  <cp:lastModifiedBy>Christian Branco</cp:lastModifiedBy>
  <dcterms:modified xsi:type="dcterms:W3CDTF">2026-07-03T22:53:35Z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