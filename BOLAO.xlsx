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BolaoCopa_atualizado\"/>
    </mc:Choice>
  </mc:AlternateContent>
  <xr:revisionPtr revIDLastSave="0" documentId="13_ncr:1_{0512373B-F5D5-445E-924D-E50ABCD091A3}" xr6:coauthVersionLast="47" xr6:coauthVersionMax="47" xr10:uidLastSave="{00000000-0000-0000-0000-000000000000}"/>
  <bookViews>
    <workbookView xWindow="-120" yWindow="-120" windowWidth="29040" windowHeight="16440" tabRatio="500" activeTab="3" xr2:uid="{00000000-000D-0000-FFFF-FFFF00000000}"/>
  </bookViews>
  <sheets>
    <sheet name="Pagamentos" sheetId="1" r:id="rId1"/>
    <sheet name="Apuração" sheetId="2" state="hidden" r:id="rId2"/>
    <sheet name="ORGANIZAÇÃO" sheetId="3" r:id="rId3"/>
    <sheet name="MATA-MATA 32" sheetId="4" r:id="rId4"/>
    <sheet name="MATA-MATA 16" sheetId="5" r:id="rId5"/>
    <sheet name="MATA-MATA 8" sheetId="6" r:id="rId6"/>
    <sheet name="MATA-MATA 4" sheetId="7" r:id="rId7"/>
    <sheet name="MATA-MATA 2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2" i="8" l="1"/>
  <c r="AC2" i="8"/>
  <c r="AE2" i="8" s="1"/>
  <c r="D2" i="8"/>
  <c r="C2" i="8"/>
  <c r="AD3" i="7"/>
  <c r="AC3" i="7"/>
  <c r="AE3" i="7" s="1"/>
  <c r="D3" i="7"/>
  <c r="C3" i="7"/>
  <c r="AD2" i="7"/>
  <c r="AC2" i="7"/>
  <c r="AE2" i="7" s="1"/>
  <c r="D2" i="7"/>
  <c r="C2" i="7"/>
  <c r="AD5" i="6"/>
  <c r="AC5" i="6"/>
  <c r="AE5" i="6" s="1"/>
  <c r="D5" i="6"/>
  <c r="C5" i="6"/>
  <c r="AD4" i="6"/>
  <c r="AE4" i="6" s="1"/>
  <c r="AC4" i="6"/>
  <c r="D4" i="6"/>
  <c r="C4" i="6"/>
  <c r="AD3" i="6"/>
  <c r="AC3" i="6"/>
  <c r="AE3" i="6" s="1"/>
  <c r="D3" i="6"/>
  <c r="C3" i="6"/>
  <c r="AD2" i="6"/>
  <c r="AC2" i="6"/>
  <c r="AE2" i="6" s="1"/>
  <c r="D2" i="6"/>
  <c r="C2" i="6"/>
  <c r="AD17" i="4"/>
  <c r="AC17" i="4"/>
  <c r="AE17" i="4" s="1"/>
  <c r="D17" i="4"/>
  <c r="C17" i="4"/>
  <c r="AD16" i="4"/>
  <c r="AE16" i="4" s="1"/>
  <c r="AC16" i="4"/>
  <c r="D16" i="4"/>
  <c r="C16" i="4"/>
  <c r="AD15" i="4"/>
  <c r="AC15" i="4"/>
  <c r="AE15" i="4" s="1"/>
  <c r="D15" i="4"/>
  <c r="C15" i="4"/>
  <c r="AD14" i="4"/>
  <c r="AC14" i="4"/>
  <c r="AE14" i="4" s="1"/>
  <c r="D14" i="4"/>
  <c r="C14" i="4"/>
  <c r="AD13" i="4"/>
  <c r="AC13" i="4"/>
  <c r="AE13" i="4" s="1"/>
  <c r="D13" i="4"/>
  <c r="C13" i="4"/>
  <c r="AD12" i="4"/>
  <c r="AC12" i="4"/>
  <c r="AE12" i="4" s="1"/>
  <c r="D12" i="4"/>
  <c r="C12" i="4"/>
  <c r="AE11" i="4"/>
  <c r="AD11" i="4"/>
  <c r="AC11" i="4"/>
  <c r="D11" i="4"/>
  <c r="C11" i="4"/>
  <c r="AD10" i="4"/>
  <c r="AC10" i="4"/>
  <c r="AE10" i="4" s="1"/>
  <c r="D10" i="4"/>
  <c r="C10" i="4"/>
  <c r="AD9" i="4"/>
  <c r="AC9" i="4"/>
  <c r="AE9" i="4" s="1"/>
  <c r="D9" i="4"/>
  <c r="C9" i="4"/>
  <c r="AD8" i="4"/>
  <c r="AC8" i="4"/>
  <c r="AE8" i="4" s="1"/>
  <c r="D8" i="4"/>
  <c r="C8" i="4"/>
  <c r="AE7" i="4"/>
  <c r="AD7" i="4"/>
  <c r="AC7" i="4"/>
  <c r="D7" i="4"/>
  <c r="C7" i="4"/>
  <c r="AE6" i="4"/>
  <c r="AD6" i="4"/>
  <c r="AC6" i="4"/>
  <c r="D6" i="4"/>
  <c r="C6" i="4"/>
  <c r="AD5" i="4"/>
  <c r="AC5" i="4"/>
  <c r="AE5" i="4" s="1"/>
  <c r="D5" i="4"/>
  <c r="C5" i="4"/>
  <c r="AD4" i="4"/>
  <c r="AC4" i="4"/>
  <c r="AE4" i="4" s="1"/>
  <c r="D4" i="4"/>
  <c r="C4" i="4"/>
  <c r="AD3" i="4"/>
  <c r="AC3" i="4"/>
  <c r="AE3" i="4" s="1"/>
  <c r="D3" i="4"/>
  <c r="C3" i="4"/>
  <c r="AD2" i="4"/>
  <c r="AC2" i="4"/>
  <c r="AE2" i="4" s="1"/>
  <c r="D2" i="4"/>
  <c r="C2" i="4"/>
  <c r="AB73" i="3"/>
  <c r="AA73" i="3"/>
  <c r="AC73" i="3" s="1"/>
  <c r="D73" i="3"/>
  <c r="C73" i="3"/>
  <c r="AB72" i="3"/>
  <c r="AA72" i="3"/>
  <c r="AC72" i="3" s="1"/>
  <c r="D72" i="3"/>
  <c r="C72" i="3"/>
  <c r="AB71" i="3"/>
  <c r="AA71" i="3"/>
  <c r="AC71" i="3" s="1"/>
  <c r="D71" i="3"/>
  <c r="C71" i="3"/>
  <c r="AB70" i="3"/>
  <c r="AA70" i="3"/>
  <c r="AC70" i="3" s="1"/>
  <c r="D70" i="3"/>
  <c r="C70" i="3"/>
  <c r="AB69" i="3"/>
  <c r="AA69" i="3"/>
  <c r="AC69" i="3" s="1"/>
  <c r="D69" i="3"/>
  <c r="C69" i="3"/>
  <c r="AB68" i="3"/>
  <c r="AC68" i="3" s="1"/>
  <c r="AA68" i="3"/>
  <c r="D68" i="3"/>
  <c r="C68" i="3"/>
  <c r="AC67" i="3"/>
  <c r="AB67" i="3"/>
  <c r="AA67" i="3"/>
  <c r="D67" i="3"/>
  <c r="C67" i="3"/>
  <c r="AB66" i="3"/>
  <c r="AA66" i="3"/>
  <c r="AC66" i="3" s="1"/>
  <c r="D66" i="3"/>
  <c r="C66" i="3"/>
  <c r="AB65" i="3"/>
  <c r="AA65" i="3"/>
  <c r="AC65" i="3" s="1"/>
  <c r="D65" i="3"/>
  <c r="C65" i="3"/>
  <c r="AB64" i="3"/>
  <c r="AA64" i="3"/>
  <c r="AC64" i="3" s="1"/>
  <c r="D64" i="3"/>
  <c r="C64" i="3"/>
  <c r="AB63" i="3"/>
  <c r="AA63" i="3"/>
  <c r="AC63" i="3" s="1"/>
  <c r="D63" i="3"/>
  <c r="C63" i="3"/>
  <c r="AC62" i="3"/>
  <c r="AB62" i="3"/>
  <c r="AA62" i="3"/>
  <c r="D62" i="3"/>
  <c r="C62" i="3"/>
  <c r="AB61" i="3"/>
  <c r="AA61" i="3"/>
  <c r="AC61" i="3" s="1"/>
  <c r="D61" i="3"/>
  <c r="C61" i="3"/>
  <c r="AB60" i="3"/>
  <c r="AA60" i="3"/>
  <c r="AC60" i="3" s="1"/>
  <c r="D60" i="3"/>
  <c r="C60" i="3"/>
  <c r="AB59" i="3"/>
  <c r="AA59" i="3"/>
  <c r="AC59" i="3" s="1"/>
  <c r="D59" i="3"/>
  <c r="C59" i="3"/>
  <c r="AB58" i="3"/>
  <c r="AA58" i="3"/>
  <c r="AC58" i="3" s="1"/>
  <c r="D58" i="3"/>
  <c r="C58" i="3"/>
  <c r="AB57" i="3"/>
  <c r="AA57" i="3"/>
  <c r="AC57" i="3" s="1"/>
  <c r="D57" i="3"/>
  <c r="C57" i="3"/>
  <c r="AB56" i="3"/>
  <c r="AC56" i="3" s="1"/>
  <c r="AA56" i="3"/>
  <c r="D56" i="3"/>
  <c r="C56" i="3"/>
  <c r="AC55" i="3"/>
  <c r="AB55" i="3"/>
  <c r="AA55" i="3"/>
  <c r="D55" i="3"/>
  <c r="C55" i="3"/>
  <c r="AB54" i="3"/>
  <c r="AA54" i="3"/>
  <c r="AC54" i="3" s="1"/>
  <c r="D54" i="3"/>
  <c r="C54" i="3"/>
  <c r="AB53" i="3"/>
  <c r="AA53" i="3"/>
  <c r="AC53" i="3" s="1"/>
  <c r="D53" i="3"/>
  <c r="C53" i="3"/>
  <c r="AB52" i="3"/>
  <c r="AA52" i="3"/>
  <c r="AC52" i="3" s="1"/>
  <c r="D52" i="3"/>
  <c r="C52" i="3"/>
  <c r="AB51" i="3"/>
  <c r="AA51" i="3"/>
  <c r="AC51" i="3" s="1"/>
  <c r="D51" i="3"/>
  <c r="C51" i="3"/>
  <c r="AC50" i="3"/>
  <c r="AB50" i="3"/>
  <c r="AA50" i="3"/>
  <c r="D50" i="3"/>
  <c r="C50" i="3"/>
  <c r="AB49" i="3"/>
  <c r="AA49" i="3"/>
  <c r="AC49" i="3" s="1"/>
  <c r="D49" i="3"/>
  <c r="C49" i="3"/>
  <c r="AB48" i="3"/>
  <c r="AA48" i="3"/>
  <c r="AC48" i="3" s="1"/>
  <c r="D48" i="3"/>
  <c r="C48" i="3"/>
  <c r="AB47" i="3"/>
  <c r="AA47" i="3"/>
  <c r="AC47" i="3" s="1"/>
  <c r="D47" i="3"/>
  <c r="C47" i="3"/>
  <c r="AB46" i="3"/>
  <c r="AA46" i="3"/>
  <c r="AC46" i="3" s="1"/>
  <c r="D46" i="3"/>
  <c r="C46" i="3"/>
  <c r="AB45" i="3"/>
  <c r="AA45" i="3"/>
  <c r="AC45" i="3" s="1"/>
  <c r="D45" i="3"/>
  <c r="C45" i="3"/>
  <c r="AB44" i="3"/>
  <c r="AC44" i="3" s="1"/>
  <c r="AA44" i="3"/>
  <c r="D44" i="3"/>
  <c r="C44" i="3"/>
  <c r="AC43" i="3"/>
  <c r="AB43" i="3"/>
  <c r="AA43" i="3"/>
  <c r="D43" i="3"/>
  <c r="C43" i="3"/>
  <c r="AB42" i="3"/>
  <c r="AA42" i="3"/>
  <c r="AC42" i="3" s="1"/>
  <c r="D42" i="3"/>
  <c r="C42" i="3"/>
  <c r="AB41" i="3"/>
  <c r="AA41" i="3"/>
  <c r="AC41" i="3" s="1"/>
  <c r="D41" i="3"/>
  <c r="C41" i="3"/>
  <c r="AB40" i="3"/>
  <c r="AA40" i="3"/>
  <c r="AC40" i="3" s="1"/>
  <c r="D40" i="3"/>
  <c r="C40" i="3"/>
  <c r="AB39" i="3"/>
  <c r="AA39" i="3"/>
  <c r="AC39" i="3" s="1"/>
  <c r="D39" i="3"/>
  <c r="C39" i="3"/>
  <c r="AC38" i="3"/>
  <c r="AB38" i="3"/>
  <c r="AA38" i="3"/>
  <c r="D38" i="3"/>
  <c r="C38" i="3"/>
  <c r="AB37" i="3"/>
  <c r="AA37" i="3"/>
  <c r="AC37" i="3" s="1"/>
  <c r="D37" i="3"/>
  <c r="C37" i="3"/>
  <c r="AB36" i="3"/>
  <c r="AA36" i="3"/>
  <c r="AC36" i="3" s="1"/>
  <c r="D36" i="3"/>
  <c r="C36" i="3"/>
  <c r="AB35" i="3"/>
  <c r="AA35" i="3"/>
  <c r="AC35" i="3" s="1"/>
  <c r="D35" i="3"/>
  <c r="C35" i="3"/>
  <c r="AB34" i="3"/>
  <c r="AA34" i="3"/>
  <c r="AC34" i="3" s="1"/>
  <c r="D34" i="3"/>
  <c r="C34" i="3"/>
  <c r="AB33" i="3"/>
  <c r="AA33" i="3"/>
  <c r="AC33" i="3" s="1"/>
  <c r="D33" i="3"/>
  <c r="C33" i="3"/>
  <c r="AB32" i="3"/>
  <c r="AC32" i="3" s="1"/>
  <c r="AA32" i="3"/>
  <c r="D32" i="3"/>
  <c r="C32" i="3"/>
  <c r="AC31" i="3"/>
  <c r="AB31" i="3"/>
  <c r="AA31" i="3"/>
  <c r="D31" i="3"/>
  <c r="C31" i="3"/>
  <c r="AB30" i="3"/>
  <c r="AA30" i="3"/>
  <c r="AC30" i="3" s="1"/>
  <c r="D30" i="3"/>
  <c r="C30" i="3"/>
  <c r="AB29" i="3"/>
  <c r="AA29" i="3"/>
  <c r="AC29" i="3" s="1"/>
  <c r="D29" i="3"/>
  <c r="C29" i="3"/>
  <c r="AB28" i="3"/>
  <c r="AA28" i="3"/>
  <c r="AC28" i="3" s="1"/>
  <c r="D28" i="3"/>
  <c r="C28" i="3"/>
  <c r="AB27" i="3"/>
  <c r="AA27" i="3"/>
  <c r="AC27" i="3" s="1"/>
  <c r="D27" i="3"/>
  <c r="C27" i="3"/>
  <c r="AC26" i="3"/>
  <c r="AB26" i="3"/>
  <c r="AA26" i="3"/>
  <c r="D26" i="3"/>
  <c r="C26" i="3"/>
  <c r="AB25" i="3"/>
  <c r="AA25" i="3"/>
  <c r="AC25" i="3" s="1"/>
  <c r="D25" i="3"/>
  <c r="C25" i="3"/>
  <c r="AB24" i="3"/>
  <c r="AA24" i="3"/>
  <c r="AC24" i="3" s="1"/>
  <c r="D24" i="3"/>
  <c r="C24" i="3"/>
  <c r="AB23" i="3"/>
  <c r="AA23" i="3"/>
  <c r="AC23" i="3" s="1"/>
  <c r="D23" i="3"/>
  <c r="C23" i="3"/>
  <c r="AB22" i="3"/>
  <c r="AA22" i="3"/>
  <c r="AC22" i="3" s="1"/>
  <c r="D22" i="3"/>
  <c r="C22" i="3"/>
  <c r="AB21" i="3"/>
  <c r="AA21" i="3"/>
  <c r="AC21" i="3" s="1"/>
  <c r="D21" i="3"/>
  <c r="C21" i="3"/>
  <c r="AB20" i="3"/>
  <c r="AC20" i="3" s="1"/>
  <c r="AA20" i="3"/>
  <c r="D20" i="3"/>
  <c r="C20" i="3"/>
  <c r="AC19" i="3"/>
  <c r="AB19" i="3"/>
  <c r="AA19" i="3"/>
  <c r="D19" i="3"/>
  <c r="C19" i="3"/>
  <c r="AB18" i="3"/>
  <c r="AA18" i="3"/>
  <c r="AC18" i="3" s="1"/>
  <c r="D18" i="3"/>
  <c r="C18" i="3"/>
  <c r="AB17" i="3"/>
  <c r="AA17" i="3"/>
  <c r="AC17" i="3" s="1"/>
  <c r="D17" i="3"/>
  <c r="C17" i="3"/>
  <c r="AB16" i="3"/>
  <c r="AA16" i="3"/>
  <c r="AC16" i="3" s="1"/>
  <c r="D16" i="3"/>
  <c r="C16" i="3"/>
  <c r="AB15" i="3"/>
  <c r="AA15" i="3"/>
  <c r="AC15" i="3" s="1"/>
  <c r="D15" i="3"/>
  <c r="C15" i="3"/>
  <c r="AC14" i="3"/>
  <c r="AB14" i="3"/>
  <c r="AA14" i="3"/>
  <c r="D14" i="3"/>
  <c r="C14" i="3"/>
  <c r="AB13" i="3"/>
  <c r="AA13" i="3"/>
  <c r="AC13" i="3" s="1"/>
  <c r="D13" i="3"/>
  <c r="C13" i="3"/>
  <c r="AB12" i="3"/>
  <c r="AA12" i="3"/>
  <c r="AC12" i="3" s="1"/>
  <c r="D12" i="3"/>
  <c r="C12" i="3"/>
  <c r="AB11" i="3"/>
  <c r="AA11" i="3"/>
  <c r="AC11" i="3" s="1"/>
  <c r="D11" i="3"/>
  <c r="C11" i="3"/>
  <c r="AB10" i="3"/>
  <c r="AC10" i="3" s="1"/>
  <c r="AA10" i="3"/>
  <c r="D10" i="3"/>
  <c r="C10" i="3"/>
  <c r="AB9" i="3"/>
  <c r="AA9" i="3"/>
  <c r="AC9" i="3" s="1"/>
  <c r="D9" i="3"/>
  <c r="C9" i="3"/>
  <c r="AB8" i="3"/>
  <c r="AC8" i="3" s="1"/>
  <c r="AA8" i="3"/>
  <c r="D8" i="3"/>
  <c r="C8" i="3"/>
  <c r="AC7" i="3"/>
  <c r="AB7" i="3"/>
  <c r="AA7" i="3"/>
  <c r="D7" i="3"/>
  <c r="C7" i="3"/>
  <c r="AB6" i="3"/>
  <c r="AA6" i="3"/>
  <c r="AC6" i="3" s="1"/>
  <c r="D6" i="3"/>
  <c r="C6" i="3"/>
  <c r="AB5" i="3"/>
  <c r="AA5" i="3"/>
  <c r="AC5" i="3" s="1"/>
  <c r="D5" i="3"/>
  <c r="C5" i="3"/>
  <c r="AB4" i="3"/>
  <c r="AA4" i="3"/>
  <c r="AC4" i="3" s="1"/>
  <c r="D4" i="3"/>
  <c r="C4" i="3"/>
  <c r="AB3" i="3"/>
  <c r="AA3" i="3"/>
  <c r="AC3" i="3" s="1"/>
  <c r="D3" i="3"/>
  <c r="C3" i="3"/>
  <c r="AC2" i="3"/>
  <c r="Y74" i="3" s="1" a="1"/>
  <c r="Y74" i="3" s="1"/>
  <c r="AB2" i="3"/>
  <c r="AA2" i="3"/>
  <c r="D2" i="3"/>
  <c r="C2" i="3"/>
  <c r="A17" i="2"/>
  <c r="C17" i="2" s="1" a="1"/>
  <c r="C17" i="2" s="1"/>
  <c r="D17" i="2" s="1"/>
  <c r="E17" i="2" s="1"/>
  <c r="C16" i="2" a="1"/>
  <c r="C16" i="2" s="1"/>
  <c r="D16" i="2" s="1"/>
  <c r="E16" i="2" s="1"/>
  <c r="A16" i="2"/>
  <c r="A15" i="2"/>
  <c r="C15" i="2" s="1" a="1"/>
  <c r="C15" i="2" s="1"/>
  <c r="D15" i="2" s="1"/>
  <c r="E15" i="2" s="1"/>
  <c r="A14" i="2"/>
  <c r="C14" i="2" s="1" a="1"/>
  <c r="C14" i="2" s="1"/>
  <c r="D14" i="2" s="1"/>
  <c r="E14" i="2" s="1"/>
  <c r="A13" i="2"/>
  <c r="C13" i="2" s="1" a="1"/>
  <c r="C13" i="2" s="1"/>
  <c r="D13" i="2" s="1"/>
  <c r="E13" i="2" s="1"/>
  <c r="A12" i="2"/>
  <c r="C12" i="2" s="1" a="1"/>
  <c r="C12" i="2" s="1"/>
  <c r="D12" i="2" s="1"/>
  <c r="E12" i="2" s="1"/>
  <c r="A11" i="2"/>
  <c r="C11" i="2" s="1" a="1"/>
  <c r="C11" i="2" s="1"/>
  <c r="D11" i="2" s="1"/>
  <c r="E11" i="2" s="1"/>
  <c r="C10" i="2" a="1"/>
  <c r="C10" i="2" s="1"/>
  <c r="D10" i="2" s="1"/>
  <c r="E10" i="2" s="1"/>
  <c r="A10" i="2"/>
  <c r="C9" i="2" a="1"/>
  <c r="C9" i="2" s="1"/>
  <c r="D9" i="2" s="1"/>
  <c r="E9" i="2" s="1"/>
  <c r="A9" i="2"/>
  <c r="A8" i="2"/>
  <c r="C8" i="2" s="1" a="1"/>
  <c r="C8" i="2" s="1"/>
  <c r="D8" i="2" s="1"/>
  <c r="E8" i="2" s="1"/>
  <c r="A7" i="2"/>
  <c r="C7" i="2" s="1" a="1"/>
  <c r="C7" i="2" s="1"/>
  <c r="D7" i="2" s="1"/>
  <c r="E7" i="2" s="1"/>
  <c r="A6" i="2"/>
  <c r="C6" i="2" s="1" a="1"/>
  <c r="C6" i="2" s="1"/>
  <c r="D6" i="2" s="1"/>
  <c r="E6" i="2" s="1"/>
  <c r="A5" i="2"/>
  <c r="C5" i="2" s="1" a="1"/>
  <c r="C5" i="2" s="1"/>
  <c r="D5" i="2" s="1"/>
  <c r="E5" i="2" s="1"/>
  <c r="C4" i="2" a="1"/>
  <c r="C4" i="2" s="1"/>
  <c r="D4" i="2" s="1"/>
  <c r="E4" i="2" s="1"/>
  <c r="A4" i="2"/>
  <c r="AD9" i="5"/>
  <c r="AC9" i="5"/>
  <c r="AE9" i="5" s="1"/>
  <c r="D9" i="5"/>
  <c r="C9" i="5"/>
  <c r="AE8" i="5"/>
  <c r="AD8" i="5"/>
  <c r="AC8" i="5"/>
  <c r="D8" i="5"/>
  <c r="C8" i="5"/>
  <c r="AD7" i="5"/>
  <c r="AC7" i="5"/>
  <c r="AE7" i="5" s="1"/>
  <c r="D7" i="5"/>
  <c r="C7" i="5"/>
  <c r="AD6" i="5"/>
  <c r="AC6" i="5"/>
  <c r="AE6" i="5" s="1"/>
  <c r="D6" i="5"/>
  <c r="C6" i="5"/>
  <c r="AD5" i="5"/>
  <c r="AC5" i="5"/>
  <c r="AE5" i="5" s="1"/>
  <c r="D5" i="5"/>
  <c r="C5" i="5"/>
  <c r="AD4" i="5"/>
  <c r="AE4" i="5" s="1"/>
  <c r="AC4" i="5"/>
  <c r="D4" i="5"/>
  <c r="C4" i="5"/>
  <c r="AD3" i="5"/>
  <c r="AE3" i="5" s="1"/>
  <c r="AC3" i="5"/>
  <c r="D3" i="5"/>
  <c r="C3" i="5"/>
  <c r="AD2" i="5"/>
  <c r="AE2" i="5" s="1"/>
  <c r="AC2" i="5"/>
  <c r="D2" i="5"/>
  <c r="C2" i="5"/>
  <c r="AA18" i="4" l="1" a="1"/>
  <c r="AA18" i="4" s="1"/>
  <c r="AA10" i="5" s="1" a="1"/>
  <c r="AA10" i="5" s="1"/>
  <c r="AA6" i="6" s="1" a="1"/>
  <c r="AA6" i="6" s="1"/>
  <c r="AA4" i="7" s="1" a="1"/>
  <c r="AA4" i="7" s="1"/>
  <c r="AA3" i="8" s="1" a="1"/>
  <c r="AA3" i="8" s="1"/>
  <c r="T18" i="4" a="1"/>
  <c r="T18" i="4" s="1"/>
  <c r="T10" i="5" s="1" a="1"/>
  <c r="T10" i="5" s="1"/>
  <c r="T6" i="6" s="1" a="1"/>
  <c r="T6" i="6" s="1"/>
  <c r="T4" i="7" s="1" a="1"/>
  <c r="T4" i="7" s="1"/>
  <c r="T3" i="8" s="1" a="1"/>
  <c r="T3" i="8" s="1"/>
  <c r="N18" i="4" a="1"/>
  <c r="N18" i="4" s="1"/>
  <c r="N10" i="5" s="1" a="1"/>
  <c r="N10" i="5" s="1"/>
  <c r="N6" i="6" s="1" a="1"/>
  <c r="N6" i="6" s="1"/>
  <c r="N4" i="7" s="1" a="1"/>
  <c r="N4" i="7" s="1"/>
  <c r="N3" i="8" s="1" a="1"/>
  <c r="N3" i="8" s="1"/>
  <c r="J18" i="4" a="1"/>
  <c r="J18" i="4" s="1"/>
  <c r="J10" i="5" s="1" a="1"/>
  <c r="J10" i="5" s="1"/>
  <c r="J6" i="6" s="1" a="1"/>
  <c r="J6" i="6" s="1"/>
  <c r="J4" i="7" s="1" a="1"/>
  <c r="J4" i="7" s="1"/>
  <c r="J3" i="8" s="1" a="1"/>
  <c r="J3" i="8" s="1"/>
  <c r="W74" i="3" a="1"/>
  <c r="W74" i="3" s="1"/>
  <c r="Y18" i="4" s="1" a="1"/>
  <c r="Y18" i="4" s="1"/>
  <c r="Y10" i="5" s="1" a="1"/>
  <c r="Y10" i="5" s="1"/>
  <c r="Y6" i="6" s="1" a="1"/>
  <c r="Y6" i="6" s="1"/>
  <c r="Y4" i="7" s="1" a="1"/>
  <c r="Y4" i="7" s="1"/>
  <c r="Y3" i="8" s="1" a="1"/>
  <c r="Y3" i="8" s="1"/>
  <c r="K74" i="3" a="1"/>
  <c r="K74" i="3" s="1"/>
  <c r="M18" i="4" s="1" a="1"/>
  <c r="M18" i="4" s="1"/>
  <c r="M10" i="5" s="1" a="1"/>
  <c r="M10" i="5" s="1"/>
  <c r="M6" i="6" s="1" a="1"/>
  <c r="M6" i="6" s="1"/>
  <c r="M4" i="7" s="1" a="1"/>
  <c r="M4" i="7" s="1"/>
  <c r="M3" i="8" s="1" a="1"/>
  <c r="M3" i="8" s="1"/>
  <c r="Q74" i="3" a="1"/>
  <c r="Q74" i="3" s="1"/>
  <c r="S18" i="4" s="1" a="1"/>
  <c r="S18" i="4" s="1"/>
  <c r="S10" i="5" s="1" a="1"/>
  <c r="S10" i="5" s="1"/>
  <c r="S6" i="6" s="1" a="1"/>
  <c r="S6" i="6" s="1"/>
  <c r="S4" i="7" s="1" a="1"/>
  <c r="S4" i="7" s="1"/>
  <c r="S3" i="8" s="1" a="1"/>
  <c r="S3" i="8" s="1"/>
  <c r="P74" i="3" a="1"/>
  <c r="P74" i="3" s="1"/>
  <c r="R18" i="4" s="1" a="1"/>
  <c r="R18" i="4" s="1"/>
  <c r="R10" i="5" s="1" a="1"/>
  <c r="R10" i="5" s="1"/>
  <c r="R6" i="6" s="1" a="1"/>
  <c r="R6" i="6" s="1"/>
  <c r="R4" i="7" s="1" a="1"/>
  <c r="R4" i="7" s="1"/>
  <c r="R3" i="8" s="1" a="1"/>
  <c r="R3" i="8" s="1"/>
  <c r="V74" i="3" a="1"/>
  <c r="V74" i="3" s="1"/>
  <c r="X18" i="4" s="1" a="1"/>
  <c r="X18" i="4" s="1"/>
  <c r="X10" i="5" s="1" a="1"/>
  <c r="X10" i="5" s="1"/>
  <c r="X6" i="6" s="1" a="1"/>
  <c r="X6" i="6" s="1"/>
  <c r="X4" i="7" s="1" a="1"/>
  <c r="X4" i="7" s="1"/>
  <c r="X3" i="8" s="1" a="1"/>
  <c r="X3" i="8" s="1"/>
  <c r="O74" i="3" a="1"/>
  <c r="O74" i="3" s="1"/>
  <c r="Q18" i="4" s="1" a="1"/>
  <c r="Q18" i="4" s="1"/>
  <c r="Q10" i="5" s="1" a="1"/>
  <c r="Q10" i="5" s="1"/>
  <c r="Q6" i="6" s="1" a="1"/>
  <c r="Q6" i="6" s="1"/>
  <c r="Q4" i="7" s="1" a="1"/>
  <c r="Q4" i="7" s="1"/>
  <c r="Q3" i="8" s="1" a="1"/>
  <c r="Q3" i="8" s="1"/>
  <c r="U74" i="3" a="1"/>
  <c r="U74" i="3" s="1"/>
  <c r="W18" i="4" s="1" a="1"/>
  <c r="W18" i="4" s="1"/>
  <c r="W10" i="5" s="1" a="1"/>
  <c r="W10" i="5" s="1"/>
  <c r="W6" i="6" s="1" a="1"/>
  <c r="W6" i="6" s="1"/>
  <c r="W4" i="7" s="1" a="1"/>
  <c r="W4" i="7" s="1"/>
  <c r="W3" i="8" s="1" a="1"/>
  <c r="W3" i="8" s="1"/>
  <c r="I74" i="3" a="1"/>
  <c r="I74" i="3" s="1"/>
  <c r="K18" i="4" s="1" a="1"/>
  <c r="K18" i="4" s="1"/>
  <c r="K10" i="5" s="1" a="1"/>
  <c r="K10" i="5" s="1"/>
  <c r="K6" i="6" s="1" a="1"/>
  <c r="K6" i="6" s="1"/>
  <c r="K4" i="7" s="1" a="1"/>
  <c r="K4" i="7" s="1"/>
  <c r="K3" i="8" s="1" a="1"/>
  <c r="K3" i="8" s="1"/>
  <c r="J74" i="3" a="1"/>
  <c r="J74" i="3" s="1"/>
  <c r="L18" i="4" s="1" a="1"/>
  <c r="L18" i="4" s="1"/>
  <c r="L10" i="5" s="1" a="1"/>
  <c r="L10" i="5" s="1"/>
  <c r="L6" i="6" s="1" a="1"/>
  <c r="L6" i="6" s="1"/>
  <c r="L4" i="7" s="1" a="1"/>
  <c r="L4" i="7" s="1"/>
  <c r="L3" i="8" s="1" a="1"/>
  <c r="L3" i="8" s="1"/>
  <c r="L74" i="3" a="1"/>
  <c r="L74" i="3" s="1"/>
  <c r="H74" i="3" a="1"/>
  <c r="H74" i="3" s="1"/>
  <c r="N74" i="3" a="1"/>
  <c r="N74" i="3" s="1"/>
  <c r="P18" i="4" s="1" a="1"/>
  <c r="P18" i="4" s="1"/>
  <c r="P10" i="5" s="1" a="1"/>
  <c r="P10" i="5" s="1"/>
  <c r="P6" i="6" s="1" a="1"/>
  <c r="P6" i="6" s="1"/>
  <c r="P4" i="7" s="1" a="1"/>
  <c r="P4" i="7" s="1"/>
  <c r="P3" i="8" s="1" a="1"/>
  <c r="P3" i="8" s="1"/>
  <c r="T74" i="3" a="1"/>
  <c r="T74" i="3" s="1"/>
  <c r="V18" i="4" s="1" a="1"/>
  <c r="V18" i="4" s="1"/>
  <c r="V10" i="5" s="1" a="1"/>
  <c r="V10" i="5" s="1"/>
  <c r="V6" i="6" s="1" a="1"/>
  <c r="V6" i="6" s="1"/>
  <c r="V4" i="7" s="1" a="1"/>
  <c r="V4" i="7" s="1"/>
  <c r="V3" i="8" s="1" a="1"/>
  <c r="V3" i="8" s="1"/>
  <c r="Z74" i="3" a="1"/>
  <c r="Z74" i="3" s="1"/>
  <c r="AB18" i="4" s="1" a="1"/>
  <c r="AB18" i="4" s="1"/>
  <c r="AB10" i="5" s="1" a="1"/>
  <c r="AB10" i="5" s="1"/>
  <c r="AB6" i="6" s="1" a="1"/>
  <c r="AB6" i="6" s="1"/>
  <c r="AB4" i="7" s="1" a="1"/>
  <c r="AB4" i="7" s="1"/>
  <c r="AB3" i="8" s="1" a="1"/>
  <c r="AB3" i="8" s="1"/>
  <c r="X74" i="3" a="1"/>
  <c r="X74" i="3" s="1"/>
  <c r="Z18" i="4" s="1" a="1"/>
  <c r="Z18" i="4" s="1"/>
  <c r="Z10" i="5" s="1" a="1"/>
  <c r="Z10" i="5" s="1"/>
  <c r="Z6" i="6" s="1" a="1"/>
  <c r="Z6" i="6" s="1"/>
  <c r="Z4" i="7" s="1" a="1"/>
  <c r="Z4" i="7" s="1"/>
  <c r="Z3" i="8" s="1" a="1"/>
  <c r="Z3" i="8" s="1"/>
  <c r="R74" i="3" a="1"/>
  <c r="R74" i="3" s="1"/>
  <c r="G74" i="3" a="1"/>
  <c r="G74" i="3" s="1"/>
  <c r="I18" i="4" s="1" a="1"/>
  <c r="I18" i="4" s="1"/>
  <c r="I10" i="5" s="1" a="1"/>
  <c r="I10" i="5" s="1"/>
  <c r="I6" i="6" s="1" a="1"/>
  <c r="I6" i="6" s="1"/>
  <c r="I4" i="7" s="1" a="1"/>
  <c r="I4" i="7" s="1"/>
  <c r="I3" i="8" s="1" a="1"/>
  <c r="I3" i="8" s="1"/>
  <c r="M74" i="3" a="1"/>
  <c r="M74" i="3" s="1"/>
  <c r="O18" i="4" s="1" a="1"/>
  <c r="O18" i="4" s="1"/>
  <c r="O10" i="5" s="1" a="1"/>
  <c r="O10" i="5" s="1"/>
  <c r="O6" i="6" s="1" a="1"/>
  <c r="O6" i="6" s="1"/>
  <c r="O4" i="7" s="1" a="1"/>
  <c r="O4" i="7" s="1"/>
  <c r="O3" i="8" s="1" a="1"/>
  <c r="O3" i="8" s="1"/>
  <c r="S74" i="3" a="1"/>
  <c r="S74" i="3" s="1"/>
  <c r="U18" i="4" s="1" a="1"/>
  <c r="U18" i="4" s="1"/>
  <c r="U10" i="5" s="1" a="1"/>
  <c r="U10" i="5" s="1"/>
  <c r="U6" i="6" s="1" a="1"/>
  <c r="U6" i="6" s="1"/>
  <c r="U4" i="7" s="1" a="1"/>
  <c r="U4" i="7" s="1"/>
  <c r="U3" i="8" s="1" a="1"/>
  <c r="U3" i="8" s="1"/>
</calcChain>
</file>

<file path=xl/sharedStrings.xml><?xml version="1.0" encoding="utf-8"?>
<sst xmlns="http://schemas.openxmlformats.org/spreadsheetml/2006/main" count="2196" uniqueCount="180">
  <si>
    <t>BOLÃO DA COPA 2026</t>
  </si>
  <si>
    <t>Participantes</t>
  </si>
  <si>
    <t>Pago</t>
  </si>
  <si>
    <t>Alex</t>
  </si>
  <si>
    <t>Ok</t>
  </si>
  <si>
    <t>Bonfim</t>
  </si>
  <si>
    <t>Christian</t>
  </si>
  <si>
    <t>Daniel</t>
  </si>
  <si>
    <t>Douglas</t>
  </si>
  <si>
    <t>Dunga</t>
  </si>
  <si>
    <t>Gabriel</t>
  </si>
  <si>
    <t>Gustavo</t>
  </si>
  <si>
    <t>Gustavo Lima</t>
  </si>
  <si>
    <t>Heitor</t>
  </si>
  <si>
    <t>Leonardo</t>
  </si>
  <si>
    <t>Patrick</t>
  </si>
  <si>
    <t>Rasta</t>
  </si>
  <si>
    <t>Renan</t>
  </si>
  <si>
    <t>Felipe</t>
  </si>
  <si>
    <t>Sanches</t>
  </si>
  <si>
    <t>APURAÇÃO — RANKING DO BOLÃO COPA 2026</t>
  </si>
  <si>
    <t>#</t>
  </si>
  <si>
    <t>Participante</t>
  </si>
  <si>
    <t>Acertos</t>
  </si>
  <si>
    <t>Pontos</t>
  </si>
  <si>
    <t>Posição</t>
  </si>
  <si>
    <t>Pontos por acerto</t>
  </si>
  <si>
    <t>Por acerto</t>
  </si>
  <si>
    <t>Como funciona</t>
  </si>
  <si>
    <t>Preencha a coluna 'Result.' na aba de palpites (A/E/B). O ranking atualiza sozinho.</t>
  </si>
  <si>
    <t>DATAS</t>
  </si>
  <si>
    <t>CONFRONTOS</t>
  </si>
  <si>
    <t>TIME A</t>
  </si>
  <si>
    <t>TIME B</t>
  </si>
  <si>
    <t>PLACAR</t>
  </si>
  <si>
    <t>Cleiton</t>
  </si>
  <si>
    <t>David</t>
  </si>
  <si>
    <t>Giliarde</t>
  </si>
  <si>
    <t>Juninho</t>
  </si>
  <si>
    <t>Gols A</t>
  </si>
  <si>
    <t>Gols B</t>
  </si>
  <si>
    <t>RESULTADO</t>
  </si>
  <si>
    <t>México x África do Sul</t>
  </si>
  <si>
    <t>2x0</t>
  </si>
  <si>
    <t>A</t>
  </si>
  <si>
    <t>B</t>
  </si>
  <si>
    <t>E</t>
  </si>
  <si>
    <t>Coreia do Sul x Tchéquia</t>
  </si>
  <si>
    <t>2x1</t>
  </si>
  <si>
    <t>Canadá x Bósnia e Herzeg.</t>
  </si>
  <si>
    <t>1x1</t>
  </si>
  <si>
    <t>Estados Unidos x Paraguai</t>
  </si>
  <si>
    <t>4x1</t>
  </si>
  <si>
    <t>Catar x Suíça</t>
  </si>
  <si>
    <t>Brasil x Marrocos</t>
  </si>
  <si>
    <t>Haiti x Escócia</t>
  </si>
  <si>
    <t>0x1</t>
  </si>
  <si>
    <t>Austrália x Turquia</t>
  </si>
  <si>
    <t>Alemanha x Curaçao</t>
  </si>
  <si>
    <t>7x1</t>
  </si>
  <si>
    <t>Costa do Marfim x Equador</t>
  </si>
  <si>
    <t>1x0</t>
  </si>
  <si>
    <t>Países Baixos x Japão</t>
  </si>
  <si>
    <t>2x2</t>
  </si>
  <si>
    <t>Suécia x Tunísia</t>
  </si>
  <si>
    <t>5x1</t>
  </si>
  <si>
    <t>Bélgica x Egito</t>
  </si>
  <si>
    <t>Irã x Nova Zelândia</t>
  </si>
  <si>
    <t>Espanha x Cabo Verde</t>
  </si>
  <si>
    <t>0x0</t>
  </si>
  <si>
    <t>Arábia Saudita x Uruguai</t>
  </si>
  <si>
    <t>França x Senegal</t>
  </si>
  <si>
    <t>3x1</t>
  </si>
  <si>
    <t>Iraque x Noruega</t>
  </si>
  <si>
    <t>1x4</t>
  </si>
  <si>
    <t>Argentina x Argélia</t>
  </si>
  <si>
    <t>3x0</t>
  </si>
  <si>
    <t>Áustria x Jordânia</t>
  </si>
  <si>
    <t>Portugal x Rep. Dem. Congo</t>
  </si>
  <si>
    <t>Uzbequistão x Colômbia</t>
  </si>
  <si>
    <t>1x3</t>
  </si>
  <si>
    <t>Inglaterra x Croácia</t>
  </si>
  <si>
    <t>4x2</t>
  </si>
  <si>
    <t>Gana x Panamá</t>
  </si>
  <si>
    <t>Tchéquia x África do Sul</t>
  </si>
  <si>
    <t>México x Coreia do Sul</t>
  </si>
  <si>
    <t>Suíça x Bósnia e Herzeg.</t>
  </si>
  <si>
    <t>Canadá x Catar</t>
  </si>
  <si>
    <t>6x0</t>
  </si>
  <si>
    <t>Escócia x Marrocos</t>
  </si>
  <si>
    <t>Brasil x Haiti</t>
  </si>
  <si>
    <t>Estados Unidos x Austrália</t>
  </si>
  <si>
    <t>Turquia x Paraguai</t>
  </si>
  <si>
    <t>Alemanha x Costa do Marfim</t>
  </si>
  <si>
    <t>Equador x Curaçao</t>
  </si>
  <si>
    <t>Países Baixos x Suécia</t>
  </si>
  <si>
    <t>Tunísia x Japão</t>
  </si>
  <si>
    <t>0x4</t>
  </si>
  <si>
    <t>Bélgica x Irã</t>
  </si>
  <si>
    <t>Nova Zelândia x Egito</t>
  </si>
  <si>
    <t>Espanha x Arábia Saudita</t>
  </si>
  <si>
    <t>4x0</t>
  </si>
  <si>
    <t>Uruguai x Cabo Verde</t>
  </si>
  <si>
    <t>França x Iraque</t>
  </si>
  <si>
    <t>Noruega x Senegal</t>
  </si>
  <si>
    <t>3x2</t>
  </si>
  <si>
    <t>Argentina x Áustria</t>
  </si>
  <si>
    <t>Jordânia x Argélia</t>
  </si>
  <si>
    <t>1x2</t>
  </si>
  <si>
    <t>Portugal x Uzbequistão</t>
  </si>
  <si>
    <t>5x0</t>
  </si>
  <si>
    <t>Colômbia x Rep. Dem. Congo</t>
  </si>
  <si>
    <t>1X0</t>
  </si>
  <si>
    <t>Inglaterra x Gana</t>
  </si>
  <si>
    <t>Panamá x Croácia</t>
  </si>
  <si>
    <t>0X1</t>
  </si>
  <si>
    <t>África do Sul x Coreia do Sul</t>
  </si>
  <si>
    <t>Tchéquia x México</t>
  </si>
  <si>
    <t>0x3</t>
  </si>
  <si>
    <t>Suíça x Canadá</t>
  </si>
  <si>
    <t>Bósnia e Herzeg. x Catar</t>
  </si>
  <si>
    <t>Marrocos x Haiti</t>
  </si>
  <si>
    <t>Escócia x Brasil</t>
  </si>
  <si>
    <t>Turquia x Estados Unidos</t>
  </si>
  <si>
    <t>Paraguai x Austrália</t>
  </si>
  <si>
    <t>Curaçao x Costa do Marfim</t>
  </si>
  <si>
    <t>0x2</t>
  </si>
  <si>
    <t>Equador x Alemanha</t>
  </si>
  <si>
    <t>Tunísia x Países Baixos</t>
  </si>
  <si>
    <t>Japão x Suécia</t>
  </si>
  <si>
    <t>Nova Zelândia x Bélgica</t>
  </si>
  <si>
    <t>1x5</t>
  </si>
  <si>
    <t>Egito x Irã</t>
  </si>
  <si>
    <t>Cabo Verde x Arábia Saudita</t>
  </si>
  <si>
    <t>Uruguai x Espanha</t>
  </si>
  <si>
    <t>Noruega x França</t>
  </si>
  <si>
    <t>Senegal x Iraque</t>
  </si>
  <si>
    <t>Argélia x Áustria</t>
  </si>
  <si>
    <t>3x3</t>
  </si>
  <si>
    <t>Jordânia x Argentina</t>
  </si>
  <si>
    <t>Colômbia x Portugal</t>
  </si>
  <si>
    <t>Rep. Dem. Congo x Uzbequistão</t>
  </si>
  <si>
    <t>Panamá x Inglaterra</t>
  </si>
  <si>
    <t>Croácia x Gana</t>
  </si>
  <si>
    <t>TOTAL</t>
  </si>
  <si>
    <t>Penalti</t>
  </si>
  <si>
    <t>Prorrogação</t>
  </si>
  <si>
    <t>África do Sul x Canadá</t>
  </si>
  <si>
    <t>Alemanha x Paraguai</t>
  </si>
  <si>
    <t>Países Baixos x Marrocos</t>
  </si>
  <si>
    <t>Brasil x Japão</t>
  </si>
  <si>
    <t>França x Suécia</t>
  </si>
  <si>
    <t>3X0</t>
  </si>
  <si>
    <t>Costa do Marfim x Noruega</t>
  </si>
  <si>
    <t>México x Equador</t>
  </si>
  <si>
    <t>Inglaterra x Rep. Dem. Congo</t>
  </si>
  <si>
    <t>Estados Unidos x Bósnia e Herzeg.</t>
  </si>
  <si>
    <t>Bélgica x Senegal</t>
  </si>
  <si>
    <t>Portugal x Croácia</t>
  </si>
  <si>
    <t>Espanha x Áustria</t>
  </si>
  <si>
    <t>Suíça x Argélia</t>
  </si>
  <si>
    <t>Colômbia x Gana</t>
  </si>
  <si>
    <t>#x#</t>
  </si>
  <si>
    <t>Argentina x Cabo Verde</t>
  </si>
  <si>
    <t>Austrália x Egito</t>
  </si>
  <si>
    <t>Paraguai x França</t>
  </si>
  <si>
    <t>Canadá x Marrocos</t>
  </si>
  <si>
    <t>Brasil x Noruega</t>
  </si>
  <si>
    <t>México x Inglaterra</t>
  </si>
  <si>
    <t>Portugal x Espanha</t>
  </si>
  <si>
    <t>Estados Unidos x Bélgica</t>
  </si>
  <si>
    <t>Vencedor Jogo 15 x Egito</t>
  </si>
  <si>
    <t>Suíça x Vencedor Jogo 14</t>
  </si>
  <si>
    <t>Vencedor Oitava 1 x Vencedor Oitava 2</t>
  </si>
  <si>
    <t>Vencedor Oitava 3 x Vencedor Oitava 4</t>
  </si>
  <si>
    <t>Vencedor Oitava 5 x Vencedor Oitava 6</t>
  </si>
  <si>
    <t>Vencedor Oitava 7 x Vencedor Oitava 8</t>
  </si>
  <si>
    <t>Vencedor Quarta 1 x Vencedor Quarta 2</t>
  </si>
  <si>
    <t>Vencedor Quarta 3 x Vencedor Quarta 4</t>
  </si>
  <si>
    <t>Vencedor Semifinal 1 x Vencedor Semifinal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</si>
</sst>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8" x14ac:knownFonts="1">
    <font>
      <sz val="11"/>
      <color theme="1"/>
      <name val="Aptos Narrow"/>
      <family val="2"/>
      <charset val="1"/>
    </font>
    <font>
      <b/>
      <sz val="16"/>
      <color rgb="FFFFDF00"/>
      <name val="Aptos Narrow"/>
      <family val="2"/>
      <charset val="1"/>
    </font>
    <font>
      <b/>
      <sz val="12"/>
      <color rgb="FFFFDF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5"/>
      <color rgb="FFFFDF00"/>
      <name val="Aptos Narrow"/>
      <family val="2"/>
      <charset val="1"/>
    </font>
    <font>
      <b/>
      <sz val="11"/>
      <color rgb="FFFFDF00"/>
      <name val="Aptos Narrow"/>
      <family val="2"/>
      <charset val="1"/>
    </font>
    <font>
      <b/>
      <sz val="11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b/>
      <sz val="20"/>
      <color rgb="FF002776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b/>
      <sz val="11"/>
      <color theme="0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2"/>
      <color rgb="FFFFDF00"/>
      <name val="Aptos Narrow"/>
      <charset val="1"/>
    </font>
    <font>
      <sz val="11"/>
      <color rgb="FF000000"/>
      <name val="Aptos Narrow"/>
      <charset val="1"/>
    </font>
    <font>
      <sz val="20"/>
      <color theme="1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9C3B"/>
        <bgColor rgb="FF008080"/>
      </patternFill>
    </fill>
    <fill>
      <patternFill patternType="solid">
        <fgColor rgb="FF002776"/>
        <bgColor rgb="FF002060"/>
      </patternFill>
    </fill>
    <fill>
      <patternFill patternType="solid">
        <fgColor rgb="FFEAF3EA"/>
        <bgColor rgb="FFE8F5E9"/>
      </patternFill>
    </fill>
    <fill>
      <patternFill patternType="solid">
        <fgColor rgb="FFFFFFFF"/>
        <bgColor rgb="FFEAF3EA"/>
      </patternFill>
    </fill>
    <fill>
      <patternFill patternType="solid">
        <fgColor rgb="FFFFCC00"/>
        <bgColor rgb="FFFFDF00"/>
      </patternFill>
    </fill>
    <fill>
      <patternFill patternType="solid">
        <fgColor theme="6" tint="-0.249977111117893"/>
        <bgColor rgb="FF006100"/>
      </patternFill>
    </fill>
    <fill>
      <patternFill patternType="solid">
        <fgColor rgb="FFE8F5E9"/>
        <bgColor rgb="FFEAF3EA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082"/>
      </patternFill>
    </fill>
  </fills>
  <borders count="6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/>
      </right>
      <top style="thin">
        <color rgb="FFBFBFBF"/>
      </top>
      <bottom style="medium">
        <color rgb="FF002776"/>
      </bottom>
      <diagonal/>
    </border>
    <border>
      <left/>
      <right style="thin">
        <color rgb="FFBFBFBF"/>
      </right>
      <top style="medium">
        <color rgb="FF002060"/>
      </top>
      <bottom/>
      <diagonal/>
    </border>
    <border>
      <left style="thin">
        <color rgb="FFBFBFBF"/>
      </left>
      <right style="thin">
        <color rgb="FFBFBFBF"/>
      </right>
      <top style="medium">
        <color rgb="FF002060"/>
      </top>
      <bottom/>
      <diagonal/>
    </border>
    <border>
      <left style="thin">
        <color rgb="FFBFBFBF"/>
      </left>
      <right/>
      <top style="medium">
        <color rgb="FF00206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BFBFBF"/>
      </left>
      <right/>
      <top style="medium">
        <color rgb="FF002776"/>
      </top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rgb="FFBFBFBF"/>
      </bottom>
      <diagonal/>
    </border>
    <border>
      <left/>
      <right/>
      <top style="medium">
        <color rgb="FF002776"/>
      </top>
      <bottom style="thin">
        <color rgb="FFBFBFBF"/>
      </bottom>
      <diagonal/>
    </border>
    <border>
      <left style="thin">
        <color rgb="FFBFBFBF"/>
      </left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rgb="FFBFBFBF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BFBFBF"/>
      </top>
      <bottom style="medium">
        <color rgb="FF002060"/>
      </bottom>
      <diagonal/>
    </border>
    <border>
      <left style="thin">
        <color rgb="FFBFBFBF"/>
      </left>
      <right style="medium">
        <color rgb="FF002060"/>
      </right>
      <top style="thin">
        <color rgb="FFBFBFBF"/>
      </top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776"/>
      </top>
      <bottom style="thin">
        <color rgb="FFBFBFBF"/>
      </bottom>
      <diagonal/>
    </border>
    <border>
      <left style="thin">
        <color rgb="FFBFBFBF"/>
      </left>
      <right style="medium">
        <color rgb="FF002060"/>
      </right>
      <top/>
      <bottom/>
      <diagonal/>
    </border>
    <border>
      <left/>
      <right/>
      <top/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/>
      <bottom style="thin">
        <color rgb="FFBFBFBF"/>
      </bottom>
      <diagonal/>
    </border>
    <border>
      <left style="thin">
        <color rgb="FFBFBFBF"/>
      </left>
      <right style="medium">
        <color rgb="FF002060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medium">
        <color rgb="FF002060"/>
      </left>
      <right style="medium">
        <color rgb="FF002060"/>
      </right>
      <top style="thin">
        <color rgb="FFBFBFBF"/>
      </top>
      <bottom/>
      <diagonal/>
    </border>
    <border>
      <left style="thin">
        <color rgb="FFBFBFBF"/>
      </left>
      <right style="medium">
        <color rgb="FF002060"/>
      </right>
      <top style="thin">
        <color rgb="FFBFBFBF"/>
      </top>
      <bottom/>
      <diagonal/>
    </border>
    <border>
      <left style="thin">
        <color rgb="FFBFBFBF"/>
      </left>
      <right style="medium">
        <color rgb="FF002060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/>
      <bottom style="thin">
        <color rgb="FFBFBFBF"/>
      </bottom>
      <diagonal/>
    </border>
    <border>
      <left style="medium">
        <color auto="1"/>
      </left>
      <right/>
      <top style="thin">
        <color rgb="FFBFBFBF"/>
      </top>
      <bottom/>
      <diagonal/>
    </border>
    <border>
      <left style="medium">
        <color auto="1"/>
      </left>
      <right style="medium">
        <color rgb="FF002060"/>
      </right>
      <top style="thin">
        <color rgb="FFBFBFBF"/>
      </top>
      <bottom/>
      <diagonal/>
    </border>
    <border>
      <left style="medium">
        <color auto="1"/>
      </left>
      <right/>
      <top style="thin">
        <color rgb="FFBFBFBF"/>
      </top>
      <bottom style="medium">
        <color rgb="FF002060"/>
      </bottom>
      <diagonal/>
    </border>
    <border>
      <left style="medium">
        <color auto="1"/>
      </left>
      <right style="medium">
        <color rgb="FF002060"/>
      </right>
      <top/>
      <bottom style="thin">
        <color rgb="FFBFBFBF"/>
      </bottom>
      <diagonal/>
    </border>
    <border>
      <left style="medium">
        <color auto="1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rgb="FF002060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rgb="FF002060"/>
      </right>
      <top style="thin">
        <color rgb="FFBFBFBF"/>
      </top>
      <bottom style="medium">
        <color rgb="FF002060"/>
      </bottom>
      <diagonal/>
    </border>
    <border>
      <left/>
      <right style="medium">
        <color rgb="FF002060"/>
      </right>
      <top/>
      <bottom style="thin">
        <color rgb="FFBFBFBF"/>
      </bottom>
      <diagonal/>
    </border>
    <border>
      <left/>
      <right style="medium">
        <color rgb="FF002060"/>
      </right>
      <top style="thin">
        <color rgb="FFBFBFBF"/>
      </top>
      <bottom style="thin">
        <color rgb="FFBFBFBF"/>
      </bottom>
      <diagonal/>
    </border>
    <border>
      <left/>
      <right style="medium">
        <color rgb="FF002060"/>
      </right>
      <top style="thin">
        <color rgb="FFBFBFBF"/>
      </top>
      <bottom/>
      <diagonal/>
    </border>
    <border>
      <left/>
      <right style="medium">
        <color rgb="FF002060"/>
      </right>
      <top style="medium">
        <color rgb="FF002060"/>
      </top>
      <bottom style="thin">
        <color rgb="FFBFBFBF"/>
      </bottom>
      <diagonal/>
    </border>
    <border>
      <left/>
      <right style="medium">
        <color rgb="FF002060"/>
      </right>
      <top style="thin">
        <color rgb="FFBFBFBF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rgb="FFBFBFBF"/>
      </left>
      <right style="thin">
        <color theme="0"/>
      </right>
      <top style="thin">
        <color rgb="FFBFBFBF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thin">
        <color rgb="FFBFBFBF"/>
      </left>
      <right style="medium">
        <color rgb="FF002060"/>
      </right>
      <top style="medium">
        <color rgb="FF002776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BFBFBF"/>
      </left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/>
      <bottom style="thin">
        <color rgb="FFBFBFBF"/>
      </bottom>
      <diagonal/>
    </border>
    <border>
      <left/>
      <right/>
      <top style="medium">
        <color rgb="FF002776"/>
      </top>
      <bottom style="medium">
        <color rgb="FF002060"/>
      </bottom>
      <diagonal/>
    </border>
    <border>
      <left style="medium">
        <color rgb="FF002060"/>
      </left>
      <right/>
      <top style="thin">
        <color rgb="FFBFBFBF"/>
      </top>
      <bottom style="thin">
        <color rgb="FFBFBFBF"/>
      </bottom>
      <diagonal/>
    </border>
    <border>
      <left style="medium">
        <color rgb="FF002060"/>
      </left>
      <right/>
      <top style="thin">
        <color rgb="FFBFBFBF"/>
      </top>
      <bottom style="medium">
        <color rgb="FF00206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164" fontId="0" fillId="0" borderId="54" xfId="0" applyNumberFormat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 textRotation="45"/>
    </xf>
    <xf numFmtId="164" fontId="0" fillId="8" borderId="10" xfId="0" applyNumberFormat="1" applyFill="1" applyBorder="1" applyAlignment="1">
      <alignment horizontal="center" vertical="center" textRotation="45"/>
    </xf>
    <xf numFmtId="164" fontId="0" fillId="5" borderId="10" xfId="0" applyNumberFormat="1" applyFill="1" applyBorder="1" applyAlignment="1">
      <alignment horizontal="center" vertical="center" textRotation="45"/>
    </xf>
    <xf numFmtId="164" fontId="0" fillId="8" borderId="10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textRotation="255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4" fillId="0" borderId="5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3" fillId="4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/>
    <xf numFmtId="0" fontId="7" fillId="0" borderId="0" xfId="0" applyFont="1"/>
    <xf numFmtId="0" fontId="8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164" fontId="0" fillId="5" borderId="16" xfId="0" applyNumberFormat="1" applyFill="1" applyBorder="1" applyAlignment="1">
      <alignment horizontal="left" vertical="center"/>
    </xf>
    <xf numFmtId="0" fontId="0" fillId="5" borderId="16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7" borderId="16" xfId="0" applyFont="1" applyFill="1" applyBorder="1" applyAlignment="1">
      <alignment horizontal="center"/>
    </xf>
    <xf numFmtId="0" fontId="0" fillId="8" borderId="22" xfId="0" applyFill="1" applyBorder="1" applyAlignment="1">
      <alignment horizontal="left" vertical="center"/>
    </xf>
    <xf numFmtId="0" fontId="0" fillId="8" borderId="22" xfId="0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8" borderId="16" xfId="0" applyFill="1" applyBorder="1" applyAlignment="1">
      <alignment horizontal="left" vertical="center"/>
    </xf>
    <xf numFmtId="0" fontId="0" fillId="8" borderId="16" xfId="0" applyFill="1" applyBorder="1" applyAlignment="1">
      <alignment horizontal="center" vertical="center"/>
    </xf>
    <xf numFmtId="0" fontId="0" fillId="5" borderId="22" xfId="0" applyFill="1" applyBorder="1" applyAlignment="1">
      <alignment horizontal="left" vertical="center"/>
    </xf>
    <xf numFmtId="0" fontId="0" fillId="5" borderId="2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5" borderId="25" xfId="0" applyFill="1" applyBorder="1" applyAlignment="1">
      <alignment horizontal="left" vertical="center"/>
    </xf>
    <xf numFmtId="0" fontId="0" fillId="5" borderId="25" xfId="0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5" borderId="28" xfId="0" applyFill="1" applyBorder="1" applyAlignment="1">
      <alignment horizontal="left" vertical="center"/>
    </xf>
    <xf numFmtId="0" fontId="0" fillId="5" borderId="28" xfId="0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5" borderId="30" xfId="0" applyFill="1" applyBorder="1" applyAlignment="1">
      <alignment horizontal="left" vertical="center"/>
    </xf>
    <xf numFmtId="0" fontId="0" fillId="5" borderId="30" xfId="0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0" fillId="8" borderId="25" xfId="0" applyFill="1" applyBorder="1" applyAlignment="1">
      <alignment horizontal="left" vertical="center"/>
    </xf>
    <xf numFmtId="0" fontId="0" fillId="8" borderId="25" xfId="0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8" borderId="28" xfId="0" applyFill="1" applyBorder="1" applyAlignment="1">
      <alignment horizontal="left" vertical="center"/>
    </xf>
    <xf numFmtId="0" fontId="0" fillId="8" borderId="28" xfId="0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0" fontId="0" fillId="8" borderId="30" xfId="0" applyFill="1" applyBorder="1" applyAlignment="1">
      <alignment horizontal="left" vertical="center"/>
    </xf>
    <xf numFmtId="0" fontId="0" fillId="8" borderId="30" xfId="0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  <xf numFmtId="0" fontId="12" fillId="9" borderId="33" xfId="0" applyFont="1" applyFill="1" applyBorder="1" applyAlignment="1">
      <alignment horizontal="center" vertical="center"/>
    </xf>
    <xf numFmtId="0" fontId="12" fillId="9" borderId="37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5" borderId="18" xfId="0" applyFill="1" applyBorder="1" applyAlignment="1">
      <alignment horizontal="left" vertical="center"/>
    </xf>
    <xf numFmtId="0" fontId="0" fillId="5" borderId="18" xfId="0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11" fillId="7" borderId="46" xfId="0" applyFont="1" applyFill="1" applyBorder="1" applyAlignment="1">
      <alignment horizontal="center"/>
    </xf>
    <xf numFmtId="0" fontId="3" fillId="6" borderId="21" xfId="0" applyFont="1" applyFill="1" applyBorder="1"/>
    <xf numFmtId="0" fontId="3" fillId="0" borderId="46" xfId="0" applyFont="1" applyBorder="1" applyAlignment="1">
      <alignment horizontal="center"/>
    </xf>
    <xf numFmtId="0" fontId="2" fillId="3" borderId="4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9" fillId="6" borderId="48" xfId="0" applyFont="1" applyFill="1" applyBorder="1" applyAlignment="1">
      <alignment horizontal="center" vertical="center" textRotation="255" wrapText="1"/>
    </xf>
    <xf numFmtId="0" fontId="10" fillId="2" borderId="4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164" fontId="14" fillId="0" borderId="51" xfId="0" applyNumberFormat="1" applyFont="1" applyBorder="1" applyAlignment="1">
      <alignment horizontal="center" vertical="center"/>
    </xf>
    <xf numFmtId="164" fontId="0" fillId="5" borderId="9" xfId="0" applyNumberFormat="1" applyFill="1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16" fillId="5" borderId="53" xfId="0" applyFont="1" applyFill="1" applyBorder="1" applyAlignment="1">
      <alignment horizontal="center" vertical="center"/>
    </xf>
    <xf numFmtId="0" fontId="17" fillId="6" borderId="52" xfId="0" applyFont="1" applyFill="1" applyBorder="1" applyAlignment="1">
      <alignment horizontal="center" vertical="center" textRotation="255"/>
    </xf>
    <xf numFmtId="0" fontId="0" fillId="0" borderId="4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6" xfId="0" applyBorder="1" applyAlignment="1">
      <alignment horizontal="center"/>
    </xf>
    <xf numFmtId="164" fontId="0" fillId="0" borderId="54" xfId="0" applyNumberFormat="1" applyBorder="1" applyAlignment="1">
      <alignment horizontal="center" vertical="center"/>
    </xf>
    <xf numFmtId="164" fontId="0" fillId="5" borderId="25" xfId="0" applyNumberFormat="1" applyFill="1" applyBorder="1" applyAlignment="1">
      <alignment horizontal="left" vertical="center"/>
    </xf>
    <xf numFmtId="0" fontId="17" fillId="6" borderId="0" xfId="0" applyFont="1" applyFill="1" applyAlignment="1">
      <alignment horizontal="center" vertical="center" textRotation="255"/>
    </xf>
    <xf numFmtId="0" fontId="0" fillId="0" borderId="25" xfId="0" applyBorder="1" applyAlignment="1">
      <alignment horizontal="center"/>
    </xf>
    <xf numFmtId="0" fontId="0" fillId="0" borderId="55" xfId="0" applyBorder="1" applyAlignment="1">
      <alignment horizontal="center"/>
    </xf>
    <xf numFmtId="0" fontId="11" fillId="7" borderId="25" xfId="0" applyFont="1" applyFill="1" applyBorder="1" applyAlignment="1">
      <alignment horizontal="center"/>
    </xf>
    <xf numFmtId="0" fontId="3" fillId="5" borderId="5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57" xfId="0" applyBorder="1" applyAlignment="1">
      <alignment horizontal="center"/>
    </xf>
    <xf numFmtId="0" fontId="11" fillId="7" borderId="2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8" xfId="0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0" fontId="3" fillId="6" borderId="59" xfId="0" applyFont="1" applyFill="1" applyBorder="1"/>
    <xf numFmtId="0" fontId="3" fillId="0" borderId="20" xfId="0" applyFont="1" applyBorder="1" applyAlignment="1">
      <alignment horizontal="center"/>
    </xf>
    <xf numFmtId="0" fontId="0" fillId="5" borderId="9" xfId="0" applyFill="1" applyBorder="1" applyAlignment="1">
      <alignment horizontal="center" vertical="top"/>
    </xf>
    <xf numFmtId="164" fontId="0" fillId="5" borderId="9" xfId="0" applyNumberForma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top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>
          <bgColor rgb="FFFFE082"/>
        </patternFill>
      </fill>
    </dxf>
    <dxf>
      <font>
        <b/>
        <color rgb="FFFFFFFF"/>
      </font>
      <fill>
        <patternFill>
          <bgColor rgb="FF009C3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F00"/>
      <rgbColor rgb="FFFF00FF"/>
      <rgbColor rgb="FF00FFFF"/>
      <rgbColor rgb="FF9C0006"/>
      <rgbColor rgb="FF006100"/>
      <rgbColor rgb="FF002060"/>
      <rgbColor rgb="FF808000"/>
      <rgbColor rgb="FF800080"/>
      <rgbColor rgb="FF009C3B"/>
      <rgbColor rgb="FFBFBFBF"/>
      <rgbColor rgb="FF808080"/>
      <rgbColor rgb="FF9999FF"/>
      <rgbColor rgb="FF993366"/>
      <rgbColor rgb="FFE8F5E9"/>
      <rgbColor rgb="FFEAF3EA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8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776"/>
      <rgbColor rgb="FF339966"/>
      <rgbColor rgb="FF13501B"/>
      <rgbColor rgb="FF333300"/>
      <rgbColor rgb="FF993300"/>
      <rgbColor rgb="FF993366"/>
      <rgbColor rgb="FF333399"/>
      <rgbColor rgb="FF0E2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laoCopa" displayName="BolaoCopa" ref="A4:B20" totalsRowShown="0">
  <autoFilter ref="A4:B20" xr:uid="{00000000-0009-0000-0100-000001000000}"/>
  <tableColumns count="2">
    <tableColumn id="1" xr3:uid="{00000000-0010-0000-0000-000001000000}" name="Participantes"/>
    <tableColumn id="2" xr3:uid="{00000000-0010-0000-0000-000002000000}" name="Pag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Normal="100" workbookViewId="0">
      <selection activeCell="D31" sqref="D31"/>
    </sheetView>
  </sheetViews>
  <sheetFormatPr defaultColWidth="8.5703125" defaultRowHeight="15" x14ac:dyDescent="0.25"/>
  <cols>
    <col min="1" max="1" width="24.7109375" customWidth="1"/>
    <col min="2" max="3" width="14.28515625" customWidth="1"/>
  </cols>
  <sheetData>
    <row r="1" spans="1:8" ht="21" customHeight="1" x14ac:dyDescent="0.25">
      <c r="A1" s="9" t="s">
        <v>0</v>
      </c>
      <c r="B1" s="9"/>
      <c r="C1" s="11"/>
      <c r="D1" s="11"/>
      <c r="E1" s="11"/>
      <c r="F1" s="11"/>
      <c r="G1" s="11"/>
      <c r="H1" s="11"/>
    </row>
    <row r="2" spans="1:8" ht="15" customHeight="1" x14ac:dyDescent="0.25">
      <c r="A2" s="9"/>
      <c r="B2" s="9"/>
      <c r="C2" s="11"/>
      <c r="D2" s="11"/>
      <c r="E2" s="11"/>
      <c r="F2" s="11"/>
      <c r="G2" s="11"/>
      <c r="H2" s="11"/>
    </row>
    <row r="3" spans="1:8" ht="15" customHeight="1" x14ac:dyDescent="0.25">
      <c r="A3" s="9"/>
      <c r="B3" s="9"/>
      <c r="C3" s="11"/>
      <c r="D3" s="11"/>
      <c r="E3" s="11"/>
      <c r="F3" s="11"/>
      <c r="G3" s="11"/>
      <c r="H3" s="11"/>
    </row>
    <row r="4" spans="1:8" ht="25.5" customHeight="1" x14ac:dyDescent="0.25">
      <c r="A4" s="12" t="s">
        <v>1</v>
      </c>
      <c r="B4" s="12" t="s">
        <v>2</v>
      </c>
    </row>
    <row r="5" spans="1:8" x14ac:dyDescent="0.25">
      <c r="A5" s="13" t="s">
        <v>3</v>
      </c>
      <c r="B5" s="14" t="s">
        <v>4</v>
      </c>
    </row>
    <row r="6" spans="1:8" x14ac:dyDescent="0.25">
      <c r="A6" s="13" t="s">
        <v>5</v>
      </c>
      <c r="B6" s="14" t="s">
        <v>4</v>
      </c>
    </row>
    <row r="7" spans="1:8" x14ac:dyDescent="0.25">
      <c r="A7" s="13" t="s">
        <v>6</v>
      </c>
      <c r="B7" s="14" t="s">
        <v>4</v>
      </c>
    </row>
    <row r="8" spans="1:8" x14ac:dyDescent="0.25">
      <c r="A8" s="13" t="s">
        <v>7</v>
      </c>
      <c r="B8" s="14" t="s">
        <v>4</v>
      </c>
    </row>
    <row r="9" spans="1:8" x14ac:dyDescent="0.25">
      <c r="A9" s="13" t="s">
        <v>8</v>
      </c>
      <c r="B9" s="14" t="s">
        <v>4</v>
      </c>
    </row>
    <row r="10" spans="1:8" x14ac:dyDescent="0.25">
      <c r="A10" s="13" t="s">
        <v>9</v>
      </c>
      <c r="B10" s="14" t="s">
        <v>4</v>
      </c>
    </row>
    <row r="11" spans="1:8" x14ac:dyDescent="0.25">
      <c r="A11" s="13" t="s">
        <v>10</v>
      </c>
      <c r="B11" s="14" t="s">
        <v>4</v>
      </c>
    </row>
    <row r="12" spans="1:8" x14ac:dyDescent="0.25">
      <c r="A12" s="13" t="s">
        <v>11</v>
      </c>
      <c r="B12" s="14" t="s">
        <v>4</v>
      </c>
    </row>
    <row r="13" spans="1:8" x14ac:dyDescent="0.25">
      <c r="A13" s="13" t="s">
        <v>12</v>
      </c>
      <c r="B13" s="14" t="s">
        <v>4</v>
      </c>
    </row>
    <row r="14" spans="1:8" x14ac:dyDescent="0.25">
      <c r="A14" s="13" t="s">
        <v>13</v>
      </c>
      <c r="B14" s="14" t="s">
        <v>4</v>
      </c>
    </row>
    <row r="15" spans="1:8" x14ac:dyDescent="0.25">
      <c r="A15" s="13" t="s">
        <v>14</v>
      </c>
      <c r="B15" s="14" t="s">
        <v>4</v>
      </c>
    </row>
    <row r="16" spans="1:8" x14ac:dyDescent="0.25">
      <c r="A16" s="13" t="s">
        <v>15</v>
      </c>
      <c r="B16" s="14" t="s">
        <v>4</v>
      </c>
    </row>
    <row r="17" spans="1:2" x14ac:dyDescent="0.25">
      <c r="A17" s="13" t="s">
        <v>16</v>
      </c>
      <c r="B17" s="14" t="s">
        <v>4</v>
      </c>
    </row>
    <row r="18" spans="1:2" x14ac:dyDescent="0.25">
      <c r="A18" s="13" t="s">
        <v>17</v>
      </c>
      <c r="B18" s="14" t="s">
        <v>4</v>
      </c>
    </row>
    <row r="19" spans="1:2" x14ac:dyDescent="0.25">
      <c r="A19" s="13" t="s">
        <v>18</v>
      </c>
      <c r="B19" s="14" t="s">
        <v>4</v>
      </c>
    </row>
    <row r="20" spans="1:2" x14ac:dyDescent="0.25">
      <c r="A20" s="13" t="s">
        <v>19</v>
      </c>
      <c r="B20" s="14" t="s">
        <v>4</v>
      </c>
    </row>
  </sheetData>
  <mergeCells count="1">
    <mergeCell ref="A1:B3"/>
  </mergeCells>
  <conditionalFormatting sqref="B5:B20">
    <cfRule type="containsText" dxfId="17" priority="2" operator="containsText" text="Ok">
      <formula>NOT(ISERROR(SEARCH("Ok",B5)))</formula>
    </cfRule>
  </conditionalFormatting>
  <dataValidations count="1">
    <dataValidation type="list" allowBlank="1" showInputMessage="1" showErrorMessage="1" sqref="B5:B20" xr:uid="{00000000-0002-0000-0000-000000000000}">
      <formula1>"Ok,Pendente"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Normal="100" workbookViewId="0">
      <pane ySplit="3" topLeftCell="A4" activePane="bottomLeft" state="frozen"/>
      <selection pane="bottomLeft" activeCell="D4" sqref="D4"/>
    </sheetView>
  </sheetViews>
  <sheetFormatPr defaultColWidth="8.5703125" defaultRowHeight="15" x14ac:dyDescent="0.25"/>
  <cols>
    <col min="1" max="1" width="5.7109375" customWidth="1"/>
    <col min="2" max="2" width="21" customWidth="1"/>
    <col min="3" max="7" width="12.140625" customWidth="1"/>
    <col min="9" max="9" width="22.85546875" customWidth="1"/>
    <col min="10" max="10" width="9.5703125" customWidth="1"/>
  </cols>
  <sheetData>
    <row r="1" spans="1:10" ht="30" customHeight="1" x14ac:dyDescent="0.25">
      <c r="A1" s="8" t="s">
        <v>20</v>
      </c>
      <c r="B1" s="8"/>
      <c r="C1" s="8"/>
      <c r="D1" s="8"/>
      <c r="E1" s="8"/>
      <c r="F1" s="8"/>
      <c r="G1" s="8"/>
    </row>
    <row r="3" spans="1:10" ht="30" customHeight="1" x14ac:dyDescent="0.25">
      <c r="A3" s="15" t="s">
        <v>21</v>
      </c>
      <c r="B3" s="15" t="s">
        <v>22</v>
      </c>
      <c r="C3" s="15" t="s">
        <v>23</v>
      </c>
      <c r="D3" s="15" t="s">
        <v>24</v>
      </c>
      <c r="E3" s="15" t="s">
        <v>25</v>
      </c>
      <c r="I3" s="16" t="s">
        <v>26</v>
      </c>
      <c r="J3" s="17"/>
    </row>
    <row r="4" spans="1:10" x14ac:dyDescent="0.25">
      <c r="A4" s="18">
        <f t="shared" ref="A4:A17" si="0">ROW()-3</f>
        <v>1</v>
      </c>
      <c r="B4" s="19" t="s">
        <v>3</v>
      </c>
      <c r="C4" s="18" t="e">
        <f t="array" ref="C4">SUMPRODUCT((#REF!&lt;&gt;"")*(INDEX(#REF!,0,$A4)=#REF!))</f>
        <v>#REF!</v>
      </c>
      <c r="D4" s="20" t="e">
        <f t="shared" ref="D4:D17" si="1">C4*$J$4</f>
        <v>#REF!</v>
      </c>
      <c r="E4" s="20" t="e">
        <f t="shared" ref="E4:E17" si="2">RANK(D4,$D$4:$D$17)</f>
        <v>#REF!</v>
      </c>
      <c r="I4" t="s">
        <v>27</v>
      </c>
      <c r="J4" s="16">
        <v>1</v>
      </c>
    </row>
    <row r="5" spans="1:10" x14ac:dyDescent="0.25">
      <c r="A5" s="21">
        <f t="shared" si="0"/>
        <v>2</v>
      </c>
      <c r="B5" s="22" t="s">
        <v>5</v>
      </c>
      <c r="C5" s="18" t="e">
        <f t="array" ref="C5">SUMPRODUCT((#REF!&lt;&gt;"")*(INDEX(#REF!,0,$A5)=#REF!))</f>
        <v>#REF!</v>
      </c>
      <c r="D5" s="20" t="e">
        <f t="shared" si="1"/>
        <v>#REF!</v>
      </c>
      <c r="E5" s="20" t="e">
        <f t="shared" si="2"/>
        <v>#REF!</v>
      </c>
      <c r="J5" s="17"/>
    </row>
    <row r="6" spans="1:10" x14ac:dyDescent="0.25">
      <c r="A6" s="18">
        <f t="shared" si="0"/>
        <v>3</v>
      </c>
      <c r="B6" s="19" t="s">
        <v>6</v>
      </c>
      <c r="C6" s="18" t="e">
        <f t="array" ref="C6">SUMPRODUCT((#REF!&lt;&gt;"")*(INDEX(#REF!,0,$A6)=#REF!))</f>
        <v>#REF!</v>
      </c>
      <c r="D6" s="20" t="e">
        <f t="shared" si="1"/>
        <v>#REF!</v>
      </c>
      <c r="E6" s="20" t="e">
        <f t="shared" si="2"/>
        <v>#REF!</v>
      </c>
    </row>
    <row r="7" spans="1:10" x14ac:dyDescent="0.25">
      <c r="A7" s="21">
        <f t="shared" si="0"/>
        <v>4</v>
      </c>
      <c r="B7" s="22" t="s">
        <v>7</v>
      </c>
      <c r="C7" s="18" t="e">
        <f t="array" ref="C7">SUMPRODUCT((#REF!&lt;&gt;"")*(INDEX(#REF!,0,$A7)=#REF!))</f>
        <v>#REF!</v>
      </c>
      <c r="D7" s="20" t="e">
        <f t="shared" si="1"/>
        <v>#REF!</v>
      </c>
      <c r="E7" s="20" t="e">
        <f t="shared" si="2"/>
        <v>#REF!</v>
      </c>
      <c r="I7" s="23" t="s">
        <v>28</v>
      </c>
    </row>
    <row r="8" spans="1:10" x14ac:dyDescent="0.25">
      <c r="A8" s="18">
        <f t="shared" si="0"/>
        <v>5</v>
      </c>
      <c r="B8" s="19" t="s">
        <v>8</v>
      </c>
      <c r="C8" s="18" t="e">
        <f t="array" ref="C8">SUMPRODUCT((#REF!&lt;&gt;"")*(INDEX(#REF!,0,$A8)=#REF!))</f>
        <v>#REF!</v>
      </c>
      <c r="D8" s="20" t="e">
        <f t="shared" si="1"/>
        <v>#REF!</v>
      </c>
      <c r="E8" s="20" t="e">
        <f t="shared" si="2"/>
        <v>#REF!</v>
      </c>
      <c r="I8" s="24" t="s">
        <v>29</v>
      </c>
    </row>
    <row r="9" spans="1:10" x14ac:dyDescent="0.25">
      <c r="A9" s="21">
        <f t="shared" si="0"/>
        <v>6</v>
      </c>
      <c r="B9" s="22" t="s">
        <v>9</v>
      </c>
      <c r="C9" s="18" t="e">
        <f t="array" ref="C9">SUMPRODUCT((#REF!&lt;&gt;"")*(INDEX(#REF!,0,$A9)=#REF!))</f>
        <v>#REF!</v>
      </c>
      <c r="D9" s="20" t="e">
        <f t="shared" si="1"/>
        <v>#REF!</v>
      </c>
      <c r="E9" s="20" t="e">
        <f t="shared" si="2"/>
        <v>#REF!</v>
      </c>
    </row>
    <row r="10" spans="1:10" x14ac:dyDescent="0.25">
      <c r="A10" s="18">
        <f t="shared" si="0"/>
        <v>7</v>
      </c>
      <c r="B10" s="19" t="s">
        <v>10</v>
      </c>
      <c r="C10" s="18" t="e">
        <f t="array" ref="C10">SUMPRODUCT((#REF!&lt;&gt;"")*(INDEX(#REF!,0,$A10)=#REF!))</f>
        <v>#REF!</v>
      </c>
      <c r="D10" s="20" t="e">
        <f t="shared" si="1"/>
        <v>#REF!</v>
      </c>
      <c r="E10" s="20" t="e">
        <f t="shared" si="2"/>
        <v>#REF!</v>
      </c>
    </row>
    <row r="11" spans="1:10" x14ac:dyDescent="0.25">
      <c r="A11" s="21">
        <f t="shared" si="0"/>
        <v>8</v>
      </c>
      <c r="B11" s="22" t="s">
        <v>11</v>
      </c>
      <c r="C11" s="18" t="e">
        <f t="array" ref="C11">SUMPRODUCT((#REF!&lt;&gt;"")*(INDEX(#REF!,0,$A11)=#REF!))</f>
        <v>#REF!</v>
      </c>
      <c r="D11" s="20" t="e">
        <f t="shared" si="1"/>
        <v>#REF!</v>
      </c>
      <c r="E11" s="20" t="e">
        <f t="shared" si="2"/>
        <v>#REF!</v>
      </c>
    </row>
    <row r="12" spans="1:10" x14ac:dyDescent="0.25">
      <c r="A12" s="18">
        <f t="shared" si="0"/>
        <v>9</v>
      </c>
      <c r="B12" s="19" t="s">
        <v>12</v>
      </c>
      <c r="C12" s="18" t="e">
        <f t="array" ref="C12">SUMPRODUCT((#REF!&lt;&gt;"")*(INDEX(#REF!,0,$A12)=#REF!))</f>
        <v>#REF!</v>
      </c>
      <c r="D12" s="20" t="e">
        <f t="shared" si="1"/>
        <v>#REF!</v>
      </c>
      <c r="E12" s="20" t="e">
        <f t="shared" si="2"/>
        <v>#REF!</v>
      </c>
    </row>
    <row r="13" spans="1:10" x14ac:dyDescent="0.25">
      <c r="A13" s="21">
        <f t="shared" si="0"/>
        <v>10</v>
      </c>
      <c r="B13" s="22" t="s">
        <v>13</v>
      </c>
      <c r="C13" s="18" t="e">
        <f t="array" ref="C13">SUMPRODUCT((#REF!&lt;&gt;"")*(INDEX(#REF!,0,$A13)=#REF!))</f>
        <v>#REF!</v>
      </c>
      <c r="D13" s="20" t="e">
        <f t="shared" si="1"/>
        <v>#REF!</v>
      </c>
      <c r="E13" s="20" t="e">
        <f t="shared" si="2"/>
        <v>#REF!</v>
      </c>
    </row>
    <row r="14" spans="1:10" x14ac:dyDescent="0.25">
      <c r="A14" s="18">
        <f t="shared" si="0"/>
        <v>11</v>
      </c>
      <c r="B14" s="19" t="s">
        <v>14</v>
      </c>
      <c r="C14" s="18" t="e">
        <f t="array" ref="C14">SUMPRODUCT((#REF!&lt;&gt;"")*(INDEX(#REF!,0,$A14)=#REF!))</f>
        <v>#REF!</v>
      </c>
      <c r="D14" s="20" t="e">
        <f t="shared" si="1"/>
        <v>#REF!</v>
      </c>
      <c r="E14" s="20" t="e">
        <f t="shared" si="2"/>
        <v>#REF!</v>
      </c>
    </row>
    <row r="15" spans="1:10" x14ac:dyDescent="0.25">
      <c r="A15" s="21">
        <f t="shared" si="0"/>
        <v>12</v>
      </c>
      <c r="B15" s="22" t="s">
        <v>15</v>
      </c>
      <c r="C15" s="18" t="e">
        <f t="array" ref="C15">SUMPRODUCT((#REF!&lt;&gt;"")*(INDEX(#REF!,0,$A15)=#REF!))</f>
        <v>#REF!</v>
      </c>
      <c r="D15" s="20" t="e">
        <f t="shared" si="1"/>
        <v>#REF!</v>
      </c>
      <c r="E15" s="20" t="e">
        <f t="shared" si="2"/>
        <v>#REF!</v>
      </c>
    </row>
    <row r="16" spans="1:10" x14ac:dyDescent="0.25">
      <c r="A16" s="18">
        <f t="shared" si="0"/>
        <v>13</v>
      </c>
      <c r="B16" s="19" t="s">
        <v>16</v>
      </c>
      <c r="C16" s="18" t="e">
        <f t="array" ref="C16">SUMPRODUCT((#REF!&lt;&gt;"")*(INDEX(#REF!,0,$A16)=#REF!))</f>
        <v>#REF!</v>
      </c>
      <c r="D16" s="20" t="e">
        <f t="shared" si="1"/>
        <v>#REF!</v>
      </c>
      <c r="E16" s="20" t="e">
        <f t="shared" si="2"/>
        <v>#REF!</v>
      </c>
    </row>
    <row r="17" spans="1:5" x14ac:dyDescent="0.25">
      <c r="A17" s="21">
        <f t="shared" si="0"/>
        <v>14</v>
      </c>
      <c r="B17" s="22" t="s">
        <v>17</v>
      </c>
      <c r="C17" s="18" t="e">
        <f t="array" ref="C17">SUMPRODUCT((#REF!&lt;&gt;"")*(INDEX(#REF!,0,$A17)=#REF!))</f>
        <v>#REF!</v>
      </c>
      <c r="D17" s="20" t="e">
        <f t="shared" si="1"/>
        <v>#REF!</v>
      </c>
      <c r="E17" s="20" t="e">
        <f t="shared" si="2"/>
        <v>#REF!</v>
      </c>
    </row>
  </sheetData>
  <mergeCells count="1">
    <mergeCell ref="A1:G1"/>
  </mergeCells>
  <conditionalFormatting sqref="A4:E17">
    <cfRule type="expression" dxfId="16" priority="2">
      <formula>$E4=1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zoomScale="85" zoomScaleNormal="85" workbookViewId="0">
      <pane ySplit="1" topLeftCell="A38" activePane="bottomLeft" state="frozen"/>
      <selection pane="bottomLeft" activeCell="E70" sqref="E70"/>
    </sheetView>
  </sheetViews>
  <sheetFormatPr defaultColWidth="8.5703125" defaultRowHeight="15" x14ac:dyDescent="0.25"/>
  <cols>
    <col min="1" max="1" width="11.85546875" customWidth="1"/>
    <col min="2" max="2" width="32.42578125" customWidth="1"/>
    <col min="3" max="4" width="20.5703125" customWidth="1"/>
    <col min="5" max="5" width="12.5703125" customWidth="1"/>
    <col min="6" max="6" width="6" customWidth="1"/>
    <col min="7" max="29" width="16.42578125" customWidth="1"/>
  </cols>
  <sheetData>
    <row r="1" spans="1:30" ht="30" customHeight="1" x14ac:dyDescent="0.25">
      <c r="A1" s="25" t="s">
        <v>30</v>
      </c>
      <c r="B1" s="26" t="s">
        <v>31</v>
      </c>
      <c r="C1" s="27" t="s">
        <v>32</v>
      </c>
      <c r="D1" s="27" t="s">
        <v>33</v>
      </c>
      <c r="E1" s="28" t="s">
        <v>34</v>
      </c>
      <c r="F1" s="7"/>
      <c r="G1" s="29" t="s">
        <v>3</v>
      </c>
      <c r="H1" s="30" t="s">
        <v>5</v>
      </c>
      <c r="I1" s="30" t="s">
        <v>6</v>
      </c>
      <c r="J1" s="30" t="s">
        <v>35</v>
      </c>
      <c r="K1" s="30" t="s">
        <v>7</v>
      </c>
      <c r="L1" s="30" t="s">
        <v>36</v>
      </c>
      <c r="M1" s="30" t="s">
        <v>8</v>
      </c>
      <c r="N1" s="30" t="s">
        <v>9</v>
      </c>
      <c r="O1" s="30" t="s">
        <v>18</v>
      </c>
      <c r="P1" s="30" t="s">
        <v>10</v>
      </c>
      <c r="Q1" s="30" t="s">
        <v>37</v>
      </c>
      <c r="R1" s="30" t="s">
        <v>11</v>
      </c>
      <c r="S1" s="30" t="s">
        <v>12</v>
      </c>
      <c r="T1" s="30" t="s">
        <v>13</v>
      </c>
      <c r="U1" s="30" t="s">
        <v>38</v>
      </c>
      <c r="V1" s="30" t="s">
        <v>14</v>
      </c>
      <c r="W1" s="30" t="s">
        <v>15</v>
      </c>
      <c r="X1" s="30" t="s">
        <v>16</v>
      </c>
      <c r="Y1" s="30" t="s">
        <v>17</v>
      </c>
      <c r="Z1" s="30" t="s">
        <v>19</v>
      </c>
      <c r="AA1" s="31" t="s">
        <v>39</v>
      </c>
      <c r="AB1" s="31" t="s">
        <v>40</v>
      </c>
      <c r="AC1" s="32" t="s">
        <v>41</v>
      </c>
    </row>
    <row r="2" spans="1:30" x14ac:dyDescent="0.25">
      <c r="A2" s="6">
        <v>46184</v>
      </c>
      <c r="B2" s="33" t="s">
        <v>42</v>
      </c>
      <c r="C2" s="34" t="str">
        <f t="shared" ref="C2:C33" si="0">TRIM(LEFT(B2,FIND(" x ",B2)-1))</f>
        <v>México</v>
      </c>
      <c r="D2" s="34" t="str">
        <f t="shared" ref="D2:D33" si="1">TRIM(MID(B2,FIND(" x ",B2)+3,100))</f>
        <v>África do Sul</v>
      </c>
      <c r="E2" s="35" t="s">
        <v>43</v>
      </c>
      <c r="F2" s="7"/>
      <c r="G2" s="36" t="s">
        <v>44</v>
      </c>
      <c r="H2" s="37" t="s">
        <v>45</v>
      </c>
      <c r="I2" s="37" t="s">
        <v>44</v>
      </c>
      <c r="J2" s="37" t="s">
        <v>44</v>
      </c>
      <c r="K2" s="37" t="s">
        <v>44</v>
      </c>
      <c r="L2" s="37" t="s">
        <v>44</v>
      </c>
      <c r="M2" s="37" t="s">
        <v>44</v>
      </c>
      <c r="N2" s="37" t="s">
        <v>44</v>
      </c>
      <c r="O2" s="37" t="s">
        <v>44</v>
      </c>
      <c r="P2" s="37" t="s">
        <v>44</v>
      </c>
      <c r="Q2" s="37" t="s">
        <v>44</v>
      </c>
      <c r="R2" s="37" t="s">
        <v>46</v>
      </c>
      <c r="S2" s="37" t="s">
        <v>44</v>
      </c>
      <c r="T2" s="37" t="s">
        <v>44</v>
      </c>
      <c r="U2" s="38" t="s">
        <v>44</v>
      </c>
      <c r="V2" s="38" t="s">
        <v>44</v>
      </c>
      <c r="W2" s="38" t="s">
        <v>46</v>
      </c>
      <c r="X2" s="38" t="s">
        <v>45</v>
      </c>
      <c r="Y2" s="38" t="s">
        <v>44</v>
      </c>
      <c r="Z2" s="37" t="s">
        <v>44</v>
      </c>
      <c r="AA2" s="39">
        <f t="shared" ref="AA2:AA33" si="2">IFERROR(VALUE(TRIM(LEFT($E2,SEARCH("x",$E2)-1))),"")</f>
        <v>2</v>
      </c>
      <c r="AB2" s="40">
        <f t="shared" ref="AB2:AB33" si="3">IFERROR(VALUE(TRIM(MID($E2,SEARCH("x",$E2)+1,10))),"")</f>
        <v>0</v>
      </c>
      <c r="AC2" s="41" t="str">
        <f t="shared" ref="AC2:AC33" si="4">IF(OR($AA2="",$AB2=""),"",IF($AA2&gt;$AB2,"A",IF($AA2&lt;$AB2,"B","E")))</f>
        <v>A</v>
      </c>
    </row>
    <row r="3" spans="1:30" ht="15.75" customHeight="1" x14ac:dyDescent="0.25">
      <c r="A3" s="6"/>
      <c r="B3" s="42" t="s">
        <v>47</v>
      </c>
      <c r="C3" s="43" t="str">
        <f t="shared" si="0"/>
        <v>Coreia do Sul</v>
      </c>
      <c r="D3" s="43" t="str">
        <f t="shared" si="1"/>
        <v>Tchéquia</v>
      </c>
      <c r="E3" s="44" t="s">
        <v>48</v>
      </c>
      <c r="F3" s="7"/>
      <c r="G3" s="45" t="s">
        <v>46</v>
      </c>
      <c r="H3" s="46" t="s">
        <v>44</v>
      </c>
      <c r="I3" s="46" t="s">
        <v>44</v>
      </c>
      <c r="J3" s="46" t="s">
        <v>44</v>
      </c>
      <c r="K3" s="46" t="s">
        <v>44</v>
      </c>
      <c r="L3" s="46" t="s">
        <v>44</v>
      </c>
      <c r="M3" s="46" t="s">
        <v>44</v>
      </c>
      <c r="N3" s="46" t="s">
        <v>44</v>
      </c>
      <c r="O3" s="46" t="s">
        <v>45</v>
      </c>
      <c r="P3" s="46" t="s">
        <v>45</v>
      </c>
      <c r="Q3" s="46" t="s">
        <v>45</v>
      </c>
      <c r="R3" s="46" t="s">
        <v>44</v>
      </c>
      <c r="S3" s="46" t="s">
        <v>46</v>
      </c>
      <c r="T3" s="46" t="s">
        <v>45</v>
      </c>
      <c r="U3" s="47" t="s">
        <v>46</v>
      </c>
      <c r="V3" s="47" t="s">
        <v>44</v>
      </c>
      <c r="W3" s="47" t="s">
        <v>44</v>
      </c>
      <c r="X3" s="47" t="s">
        <v>44</v>
      </c>
      <c r="Y3" s="47" t="s">
        <v>44</v>
      </c>
      <c r="Z3" s="46" t="s">
        <v>45</v>
      </c>
      <c r="AA3" s="48">
        <f t="shared" si="2"/>
        <v>2</v>
      </c>
      <c r="AB3" s="49">
        <f t="shared" si="3"/>
        <v>1</v>
      </c>
      <c r="AC3" s="50" t="str">
        <f t="shared" si="4"/>
        <v>A</v>
      </c>
    </row>
    <row r="4" spans="1:30" ht="15.75" customHeight="1" x14ac:dyDescent="0.25">
      <c r="A4" s="5">
        <v>46185</v>
      </c>
      <c r="B4" s="51" t="s">
        <v>49</v>
      </c>
      <c r="C4" s="52" t="str">
        <f t="shared" si="0"/>
        <v>Canadá</v>
      </c>
      <c r="D4" s="52" t="str">
        <f t="shared" si="1"/>
        <v>Bósnia e Herzeg.</v>
      </c>
      <c r="E4" s="53" t="s">
        <v>50</v>
      </c>
      <c r="F4" s="7"/>
      <c r="G4" s="54" t="s">
        <v>44</v>
      </c>
      <c r="H4" s="55" t="s">
        <v>46</v>
      </c>
      <c r="I4" s="55" t="s">
        <v>45</v>
      </c>
      <c r="J4" s="55" t="s">
        <v>46</v>
      </c>
      <c r="K4" s="55" t="s">
        <v>44</v>
      </c>
      <c r="L4" s="55" t="s">
        <v>44</v>
      </c>
      <c r="M4" s="55" t="s">
        <v>44</v>
      </c>
      <c r="N4" s="55" t="s">
        <v>44</v>
      </c>
      <c r="O4" s="55" t="s">
        <v>44</v>
      </c>
      <c r="P4" s="55" t="s">
        <v>44</v>
      </c>
      <c r="Q4" s="55" t="s">
        <v>44</v>
      </c>
      <c r="R4" s="55" t="s">
        <v>44</v>
      </c>
      <c r="S4" s="55" t="s">
        <v>44</v>
      </c>
      <c r="T4" s="55" t="s">
        <v>45</v>
      </c>
      <c r="U4" s="56" t="s">
        <v>44</v>
      </c>
      <c r="V4" s="56" t="s">
        <v>44</v>
      </c>
      <c r="W4" s="56" t="s">
        <v>44</v>
      </c>
      <c r="X4" s="56" t="s">
        <v>44</v>
      </c>
      <c r="Y4" s="56" t="s">
        <v>45</v>
      </c>
      <c r="Z4" s="55" t="s">
        <v>45</v>
      </c>
      <c r="AA4" s="48">
        <f t="shared" si="2"/>
        <v>1</v>
      </c>
      <c r="AB4" s="49">
        <f t="shared" si="3"/>
        <v>1</v>
      </c>
      <c r="AC4" s="50" t="str">
        <f t="shared" si="4"/>
        <v>E</v>
      </c>
      <c r="AD4" s="57"/>
    </row>
    <row r="5" spans="1:30" ht="15.75" customHeight="1" x14ac:dyDescent="0.25">
      <c r="A5" s="5"/>
      <c r="B5" s="58" t="s">
        <v>51</v>
      </c>
      <c r="C5" s="59" t="str">
        <f t="shared" si="0"/>
        <v>Estados Unidos</v>
      </c>
      <c r="D5" s="59" t="str">
        <f t="shared" si="1"/>
        <v>Paraguai</v>
      </c>
      <c r="E5" s="53" t="s">
        <v>52</v>
      </c>
      <c r="F5" s="7"/>
      <c r="G5" s="45" t="s">
        <v>45</v>
      </c>
      <c r="H5" s="46" t="s">
        <v>45</v>
      </c>
      <c r="I5" s="46" t="s">
        <v>45</v>
      </c>
      <c r="J5" s="46" t="s">
        <v>44</v>
      </c>
      <c r="K5" s="46" t="s">
        <v>46</v>
      </c>
      <c r="L5" s="46" t="s">
        <v>44</v>
      </c>
      <c r="M5" s="46" t="s">
        <v>45</v>
      </c>
      <c r="N5" s="46" t="s">
        <v>44</v>
      </c>
      <c r="O5" s="46" t="s">
        <v>45</v>
      </c>
      <c r="P5" s="46" t="s">
        <v>44</v>
      </c>
      <c r="Q5" s="46" t="s">
        <v>46</v>
      </c>
      <c r="R5" s="46" t="s">
        <v>45</v>
      </c>
      <c r="S5" s="46" t="s">
        <v>45</v>
      </c>
      <c r="T5" s="46" t="s">
        <v>46</v>
      </c>
      <c r="U5" s="47" t="s">
        <v>44</v>
      </c>
      <c r="V5" s="47" t="s">
        <v>45</v>
      </c>
      <c r="W5" s="47" t="s">
        <v>44</v>
      </c>
      <c r="X5" s="47" t="s">
        <v>45</v>
      </c>
      <c r="Y5" s="47" t="s">
        <v>45</v>
      </c>
      <c r="Z5" s="46" t="s">
        <v>44</v>
      </c>
      <c r="AA5" s="48">
        <f t="shared" si="2"/>
        <v>4</v>
      </c>
      <c r="AB5" s="49">
        <f t="shared" si="3"/>
        <v>1</v>
      </c>
      <c r="AC5" s="50" t="str">
        <f t="shared" si="4"/>
        <v>A</v>
      </c>
      <c r="AD5" s="57"/>
    </row>
    <row r="6" spans="1:30" ht="15.75" customHeight="1" x14ac:dyDescent="0.25">
      <c r="A6" s="4">
        <v>46186</v>
      </c>
      <c r="B6" s="60" t="s">
        <v>53</v>
      </c>
      <c r="C6" s="61" t="str">
        <f t="shared" si="0"/>
        <v>Catar</v>
      </c>
      <c r="D6" s="61" t="str">
        <f t="shared" si="1"/>
        <v>Suíça</v>
      </c>
      <c r="E6" s="35" t="s">
        <v>50</v>
      </c>
      <c r="F6" s="7"/>
      <c r="G6" s="62" t="s">
        <v>45</v>
      </c>
      <c r="H6" s="63" t="s">
        <v>45</v>
      </c>
      <c r="I6" s="63" t="s">
        <v>45</v>
      </c>
      <c r="J6" s="63" t="s">
        <v>45</v>
      </c>
      <c r="K6" s="63" t="s">
        <v>45</v>
      </c>
      <c r="L6" s="63" t="s">
        <v>45</v>
      </c>
      <c r="M6" s="63" t="s">
        <v>45</v>
      </c>
      <c r="N6" s="63" t="s">
        <v>45</v>
      </c>
      <c r="O6" s="63" t="s">
        <v>45</v>
      </c>
      <c r="P6" s="63" t="s">
        <v>45</v>
      </c>
      <c r="Q6" s="63" t="s">
        <v>44</v>
      </c>
      <c r="R6" s="63" t="s">
        <v>45</v>
      </c>
      <c r="S6" s="63" t="s">
        <v>45</v>
      </c>
      <c r="T6" s="63" t="s">
        <v>45</v>
      </c>
      <c r="U6" s="64" t="s">
        <v>45</v>
      </c>
      <c r="V6" s="64" t="s">
        <v>45</v>
      </c>
      <c r="W6" s="64" t="s">
        <v>45</v>
      </c>
      <c r="X6" s="64" t="s">
        <v>45</v>
      </c>
      <c r="Y6" s="64" t="s">
        <v>45</v>
      </c>
      <c r="Z6" s="63" t="s">
        <v>45</v>
      </c>
      <c r="AA6" s="48">
        <f t="shared" si="2"/>
        <v>1</v>
      </c>
      <c r="AB6" s="49">
        <f t="shared" si="3"/>
        <v>1</v>
      </c>
      <c r="AC6" s="50" t="str">
        <f t="shared" si="4"/>
        <v>E</v>
      </c>
      <c r="AD6" s="57"/>
    </row>
    <row r="7" spans="1:30" ht="15.75" customHeight="1" x14ac:dyDescent="0.25">
      <c r="A7" s="4"/>
      <c r="B7" s="65" t="s">
        <v>54</v>
      </c>
      <c r="C7" s="66" t="str">
        <f t="shared" si="0"/>
        <v>Brasil</v>
      </c>
      <c r="D7" s="66" t="str">
        <f t="shared" si="1"/>
        <v>Marrocos</v>
      </c>
      <c r="E7" s="67" t="s">
        <v>50</v>
      </c>
      <c r="F7" s="7"/>
      <c r="G7" s="68" t="s">
        <v>44</v>
      </c>
      <c r="H7" s="69" t="s">
        <v>44</v>
      </c>
      <c r="I7" s="69" t="s">
        <v>44</v>
      </c>
      <c r="J7" s="69" t="s">
        <v>45</v>
      </c>
      <c r="K7" s="69" t="s">
        <v>44</v>
      </c>
      <c r="L7" s="69" t="s">
        <v>44</v>
      </c>
      <c r="M7" s="69" t="s">
        <v>44</v>
      </c>
      <c r="N7" s="69" t="s">
        <v>46</v>
      </c>
      <c r="O7" s="69" t="s">
        <v>46</v>
      </c>
      <c r="P7" s="69" t="s">
        <v>44</v>
      </c>
      <c r="Q7" s="69" t="s">
        <v>44</v>
      </c>
      <c r="R7" s="69" t="s">
        <v>44</v>
      </c>
      <c r="S7" s="69" t="s">
        <v>44</v>
      </c>
      <c r="T7" s="69" t="s">
        <v>44</v>
      </c>
      <c r="U7" s="69" t="s">
        <v>44</v>
      </c>
      <c r="V7" s="69" t="s">
        <v>44</v>
      </c>
      <c r="W7" s="69" t="s">
        <v>44</v>
      </c>
      <c r="X7" s="69" t="s">
        <v>44</v>
      </c>
      <c r="Y7" s="69" t="s">
        <v>44</v>
      </c>
      <c r="Z7" s="69" t="s">
        <v>44</v>
      </c>
      <c r="AA7" s="48">
        <f t="shared" si="2"/>
        <v>1</v>
      </c>
      <c r="AB7" s="49">
        <f t="shared" si="3"/>
        <v>1</v>
      </c>
      <c r="AC7" s="50" t="str">
        <f t="shared" si="4"/>
        <v>E</v>
      </c>
      <c r="AD7" s="57"/>
    </row>
    <row r="8" spans="1:30" ht="15.75" customHeight="1" x14ac:dyDescent="0.25">
      <c r="A8" s="4"/>
      <c r="B8" s="70" t="s">
        <v>55</v>
      </c>
      <c r="C8" s="71" t="str">
        <f t="shared" si="0"/>
        <v>Haiti</v>
      </c>
      <c r="D8" s="71" t="str">
        <f t="shared" si="1"/>
        <v>Escócia</v>
      </c>
      <c r="E8" s="72" t="s">
        <v>56</v>
      </c>
      <c r="F8" s="7"/>
      <c r="G8" s="73" t="s">
        <v>44</v>
      </c>
      <c r="H8" s="74" t="s">
        <v>44</v>
      </c>
      <c r="I8" s="74" t="s">
        <v>45</v>
      </c>
      <c r="J8" s="74" t="s">
        <v>45</v>
      </c>
      <c r="K8" s="74" t="s">
        <v>45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5" t="s">
        <v>45</v>
      </c>
      <c r="V8" s="75" t="s">
        <v>45</v>
      </c>
      <c r="W8" s="75" t="s">
        <v>45</v>
      </c>
      <c r="X8" s="75" t="s">
        <v>44</v>
      </c>
      <c r="Y8" s="75" t="s">
        <v>45</v>
      </c>
      <c r="Z8" s="74" t="s">
        <v>45</v>
      </c>
      <c r="AA8" s="48">
        <f t="shared" si="2"/>
        <v>0</v>
      </c>
      <c r="AB8" s="49">
        <f t="shared" si="3"/>
        <v>1</v>
      </c>
      <c r="AC8" s="50" t="str">
        <f t="shared" si="4"/>
        <v>B</v>
      </c>
      <c r="AD8" s="57"/>
    </row>
    <row r="9" spans="1:30" ht="15.75" customHeight="1" x14ac:dyDescent="0.25">
      <c r="A9" s="4"/>
      <c r="B9" s="76" t="s">
        <v>57</v>
      </c>
      <c r="C9" s="77" t="str">
        <f t="shared" si="0"/>
        <v>Austrália</v>
      </c>
      <c r="D9" s="77" t="str">
        <f t="shared" si="1"/>
        <v>Turquia</v>
      </c>
      <c r="E9" s="78" t="s">
        <v>43</v>
      </c>
      <c r="F9" s="7"/>
      <c r="G9" s="45" t="s">
        <v>44</v>
      </c>
      <c r="H9" s="46" t="s">
        <v>45</v>
      </c>
      <c r="I9" s="46" t="s">
        <v>45</v>
      </c>
      <c r="J9" s="46" t="s">
        <v>45</v>
      </c>
      <c r="K9" s="46" t="s">
        <v>45</v>
      </c>
      <c r="L9" s="46" t="s">
        <v>45</v>
      </c>
      <c r="M9" s="46" t="s">
        <v>45</v>
      </c>
      <c r="N9" s="46" t="s">
        <v>45</v>
      </c>
      <c r="O9" s="46" t="s">
        <v>45</v>
      </c>
      <c r="P9" s="46" t="s">
        <v>45</v>
      </c>
      <c r="Q9" s="46" t="s">
        <v>44</v>
      </c>
      <c r="R9" s="46" t="s">
        <v>44</v>
      </c>
      <c r="S9" s="46" t="s">
        <v>45</v>
      </c>
      <c r="T9" s="46" t="s">
        <v>45</v>
      </c>
      <c r="U9" s="47" t="s">
        <v>45</v>
      </c>
      <c r="V9" s="47" t="s">
        <v>45</v>
      </c>
      <c r="W9" s="47" t="s">
        <v>45</v>
      </c>
      <c r="X9" s="47" t="s">
        <v>44</v>
      </c>
      <c r="Y9" s="47" t="s">
        <v>45</v>
      </c>
      <c r="Z9" s="46" t="s">
        <v>45</v>
      </c>
      <c r="AA9" s="48">
        <f t="shared" si="2"/>
        <v>2</v>
      </c>
      <c r="AB9" s="49">
        <f t="shared" si="3"/>
        <v>0</v>
      </c>
      <c r="AC9" s="50" t="str">
        <f t="shared" si="4"/>
        <v>A</v>
      </c>
      <c r="AD9" s="57"/>
    </row>
    <row r="10" spans="1:30" ht="15.75" customHeight="1" x14ac:dyDescent="0.25">
      <c r="A10" s="3">
        <v>46187</v>
      </c>
      <c r="B10" s="51" t="s">
        <v>58</v>
      </c>
      <c r="C10" s="52" t="str">
        <f t="shared" si="0"/>
        <v>Alemanha</v>
      </c>
      <c r="D10" s="52" t="str">
        <f t="shared" si="1"/>
        <v>Curaçao</v>
      </c>
      <c r="E10" s="53" t="s">
        <v>59</v>
      </c>
      <c r="F10" s="7"/>
      <c r="G10" s="62" t="s">
        <v>44</v>
      </c>
      <c r="H10" s="63" t="s">
        <v>44</v>
      </c>
      <c r="I10" s="63" t="s">
        <v>44</v>
      </c>
      <c r="J10" s="63" t="s">
        <v>44</v>
      </c>
      <c r="K10" s="63" t="s">
        <v>44</v>
      </c>
      <c r="L10" s="63" t="s">
        <v>44</v>
      </c>
      <c r="M10" s="63" t="s">
        <v>44</v>
      </c>
      <c r="N10" s="63" t="s">
        <v>44</v>
      </c>
      <c r="O10" s="63" t="s">
        <v>44</v>
      </c>
      <c r="P10" s="63" t="s">
        <v>44</v>
      </c>
      <c r="Q10" s="63" t="s">
        <v>44</v>
      </c>
      <c r="R10" s="63" t="s">
        <v>44</v>
      </c>
      <c r="S10" s="63" t="s">
        <v>44</v>
      </c>
      <c r="T10" s="63" t="s">
        <v>44</v>
      </c>
      <c r="U10" s="64" t="s">
        <v>44</v>
      </c>
      <c r="V10" s="64" t="s">
        <v>44</v>
      </c>
      <c r="W10" s="64" t="s">
        <v>44</v>
      </c>
      <c r="X10" s="64"/>
      <c r="Y10" s="64" t="s">
        <v>44</v>
      </c>
      <c r="Z10" s="63" t="s">
        <v>44</v>
      </c>
      <c r="AA10" s="48">
        <f t="shared" si="2"/>
        <v>7</v>
      </c>
      <c r="AB10" s="49">
        <f t="shared" si="3"/>
        <v>1</v>
      </c>
      <c r="AC10" s="50" t="str">
        <f t="shared" si="4"/>
        <v>A</v>
      </c>
      <c r="AD10" s="57"/>
    </row>
    <row r="11" spans="1:30" ht="15.75" customHeight="1" x14ac:dyDescent="0.25">
      <c r="A11" s="3"/>
      <c r="B11" s="79" t="s">
        <v>60</v>
      </c>
      <c r="C11" s="80" t="str">
        <f t="shared" si="0"/>
        <v>Costa do Marfim</v>
      </c>
      <c r="D11" s="80" t="str">
        <f t="shared" si="1"/>
        <v>Equador</v>
      </c>
      <c r="E11" s="81" t="s">
        <v>61</v>
      </c>
      <c r="F11" s="7"/>
      <c r="G11" s="68" t="s">
        <v>44</v>
      </c>
      <c r="H11" s="82" t="s">
        <v>46</v>
      </c>
      <c r="I11" s="82" t="s">
        <v>44</v>
      </c>
      <c r="J11" s="82" t="s">
        <v>46</v>
      </c>
      <c r="K11" s="82" t="s">
        <v>46</v>
      </c>
      <c r="L11" s="82" t="s">
        <v>45</v>
      </c>
      <c r="M11" s="82" t="s">
        <v>46</v>
      </c>
      <c r="N11" s="82" t="s">
        <v>45</v>
      </c>
      <c r="O11" s="82" t="s">
        <v>45</v>
      </c>
      <c r="P11" s="82" t="s">
        <v>44</v>
      </c>
      <c r="Q11" s="82" t="s">
        <v>44</v>
      </c>
      <c r="R11" s="82" t="s">
        <v>46</v>
      </c>
      <c r="S11" s="82" t="s">
        <v>45</v>
      </c>
      <c r="T11" s="82" t="s">
        <v>45</v>
      </c>
      <c r="U11" s="83" t="s">
        <v>44</v>
      </c>
      <c r="V11" s="83" t="s">
        <v>46</v>
      </c>
      <c r="W11" s="83" t="s">
        <v>45</v>
      </c>
      <c r="X11" s="83" t="s">
        <v>45</v>
      </c>
      <c r="Y11" s="83" t="s">
        <v>44</v>
      </c>
      <c r="Z11" s="82" t="s">
        <v>45</v>
      </c>
      <c r="AA11" s="48">
        <f t="shared" si="2"/>
        <v>1</v>
      </c>
      <c r="AB11" s="49">
        <f t="shared" si="3"/>
        <v>0</v>
      </c>
      <c r="AC11" s="50" t="str">
        <f t="shared" si="4"/>
        <v>A</v>
      </c>
      <c r="AD11" s="57"/>
    </row>
    <row r="12" spans="1:30" ht="15.75" customHeight="1" x14ac:dyDescent="0.25">
      <c r="A12" s="3"/>
      <c r="B12" s="84" t="s">
        <v>62</v>
      </c>
      <c r="C12" s="85" t="str">
        <f t="shared" si="0"/>
        <v>Países Baixos</v>
      </c>
      <c r="D12" s="85" t="str">
        <f t="shared" si="1"/>
        <v>Japão</v>
      </c>
      <c r="E12" s="86" t="s">
        <v>63</v>
      </c>
      <c r="F12" s="7"/>
      <c r="G12" s="73" t="s">
        <v>44</v>
      </c>
      <c r="H12" s="74" t="s">
        <v>45</v>
      </c>
      <c r="I12" s="74" t="s">
        <v>46</v>
      </c>
      <c r="J12" s="74" t="s">
        <v>44</v>
      </c>
      <c r="K12" s="74" t="s">
        <v>45</v>
      </c>
      <c r="L12" s="74" t="s">
        <v>44</v>
      </c>
      <c r="M12" s="74" t="s">
        <v>44</v>
      </c>
      <c r="N12" s="74" t="s">
        <v>44</v>
      </c>
      <c r="O12" s="74" t="s">
        <v>44</v>
      </c>
      <c r="P12" s="74" t="s">
        <v>45</v>
      </c>
      <c r="Q12" s="74" t="s">
        <v>45</v>
      </c>
      <c r="R12" s="74" t="s">
        <v>44</v>
      </c>
      <c r="S12" s="74" t="s">
        <v>44</v>
      </c>
      <c r="T12" s="74" t="s">
        <v>46</v>
      </c>
      <c r="U12" s="75" t="s">
        <v>45</v>
      </c>
      <c r="V12" s="75" t="s">
        <v>45</v>
      </c>
      <c r="W12" s="75" t="s">
        <v>46</v>
      </c>
      <c r="X12" s="75" t="s">
        <v>44</v>
      </c>
      <c r="Y12" s="75" t="s">
        <v>44</v>
      </c>
      <c r="Z12" s="74" t="s">
        <v>44</v>
      </c>
      <c r="AA12" s="48">
        <f t="shared" si="2"/>
        <v>2</v>
      </c>
      <c r="AB12" s="49">
        <f t="shared" si="3"/>
        <v>2</v>
      </c>
      <c r="AC12" s="50" t="str">
        <f t="shared" si="4"/>
        <v>E</v>
      </c>
      <c r="AD12" s="57"/>
    </row>
    <row r="13" spans="1:30" ht="15.75" customHeight="1" x14ac:dyDescent="0.25">
      <c r="A13" s="3"/>
      <c r="B13" s="87" t="s">
        <v>64</v>
      </c>
      <c r="C13" s="88" t="str">
        <f t="shared" si="0"/>
        <v>Suécia</v>
      </c>
      <c r="D13" s="88" t="str">
        <f t="shared" si="1"/>
        <v>Tunísia</v>
      </c>
      <c r="E13" s="89" t="s">
        <v>65</v>
      </c>
      <c r="F13" s="7"/>
      <c r="G13" s="45" t="s">
        <v>46</v>
      </c>
      <c r="H13" s="46" t="s">
        <v>44</v>
      </c>
      <c r="I13" s="46" t="s">
        <v>44</v>
      </c>
      <c r="J13" s="46" t="s">
        <v>44</v>
      </c>
      <c r="K13" s="46" t="s">
        <v>44</v>
      </c>
      <c r="L13" s="46" t="s">
        <v>45</v>
      </c>
      <c r="M13" s="46" t="s">
        <v>44</v>
      </c>
      <c r="N13" s="46" t="s">
        <v>44</v>
      </c>
      <c r="O13" s="46" t="s">
        <v>46</v>
      </c>
      <c r="P13" s="46" t="s">
        <v>44</v>
      </c>
      <c r="Q13" s="46" t="s">
        <v>45</v>
      </c>
      <c r="R13" s="46" t="s">
        <v>46</v>
      </c>
      <c r="S13" s="46" t="s">
        <v>44</v>
      </c>
      <c r="T13" s="46" t="s">
        <v>44</v>
      </c>
      <c r="U13" s="47" t="s">
        <v>44</v>
      </c>
      <c r="V13" s="47" t="s">
        <v>46</v>
      </c>
      <c r="W13" s="47" t="s">
        <v>44</v>
      </c>
      <c r="X13" s="47" t="s">
        <v>44</v>
      </c>
      <c r="Y13" s="47" t="s">
        <v>44</v>
      </c>
      <c r="Z13" s="46" t="s">
        <v>44</v>
      </c>
      <c r="AA13" s="48">
        <f t="shared" si="2"/>
        <v>5</v>
      </c>
      <c r="AB13" s="49">
        <f t="shared" si="3"/>
        <v>1</v>
      </c>
      <c r="AC13" s="50" t="str">
        <f t="shared" si="4"/>
        <v>A</v>
      </c>
      <c r="AD13" s="57"/>
    </row>
    <row r="14" spans="1:30" ht="15.75" customHeight="1" x14ac:dyDescent="0.25">
      <c r="A14" s="4">
        <v>46188</v>
      </c>
      <c r="B14" s="60" t="s">
        <v>66</v>
      </c>
      <c r="C14" s="61" t="str">
        <f t="shared" si="0"/>
        <v>Bélgica</v>
      </c>
      <c r="D14" s="61" t="str">
        <f t="shared" si="1"/>
        <v>Egito</v>
      </c>
      <c r="E14" s="35" t="s">
        <v>50</v>
      </c>
      <c r="F14" s="7"/>
      <c r="G14" s="62" t="s">
        <v>44</v>
      </c>
      <c r="H14" s="90" t="s">
        <v>44</v>
      </c>
      <c r="I14" s="90" t="s">
        <v>44</v>
      </c>
      <c r="J14" s="63" t="s">
        <v>46</v>
      </c>
      <c r="K14" s="63" t="s">
        <v>44</v>
      </c>
      <c r="L14" s="63" t="s">
        <v>44</v>
      </c>
      <c r="M14" s="63" t="s">
        <v>44</v>
      </c>
      <c r="N14" s="63" t="s">
        <v>44</v>
      </c>
      <c r="O14" s="63" t="s">
        <v>44</v>
      </c>
      <c r="P14" s="63" t="s">
        <v>44</v>
      </c>
      <c r="Q14" s="63" t="s">
        <v>44</v>
      </c>
      <c r="R14" s="63" t="s">
        <v>44</v>
      </c>
      <c r="S14" s="63" t="s">
        <v>44</v>
      </c>
      <c r="T14" s="63" t="s">
        <v>44</v>
      </c>
      <c r="U14" s="63" t="s">
        <v>44</v>
      </c>
      <c r="V14" s="63" t="s">
        <v>44</v>
      </c>
      <c r="W14" s="63" t="s">
        <v>44</v>
      </c>
      <c r="X14" s="63" t="s">
        <v>44</v>
      </c>
      <c r="Y14" s="63" t="s">
        <v>44</v>
      </c>
      <c r="Z14" s="63" t="s">
        <v>44</v>
      </c>
      <c r="AA14" s="48">
        <f t="shared" si="2"/>
        <v>1</v>
      </c>
      <c r="AB14" s="49">
        <f t="shared" si="3"/>
        <v>1</v>
      </c>
      <c r="AC14" s="50" t="str">
        <f t="shared" si="4"/>
        <v>E</v>
      </c>
      <c r="AD14" s="57"/>
    </row>
    <row r="15" spans="1:30" ht="15.75" customHeight="1" x14ac:dyDescent="0.25">
      <c r="A15" s="4"/>
      <c r="B15" s="65" t="s">
        <v>67</v>
      </c>
      <c r="C15" s="66" t="str">
        <f t="shared" si="0"/>
        <v>Irã</v>
      </c>
      <c r="D15" s="66" t="str">
        <f t="shared" si="1"/>
        <v>Nova Zelândia</v>
      </c>
      <c r="E15" s="67" t="s">
        <v>63</v>
      </c>
      <c r="F15" s="7"/>
      <c r="G15" s="68" t="s">
        <v>46</v>
      </c>
      <c r="H15" s="82" t="s">
        <v>46</v>
      </c>
      <c r="I15" s="82" t="s">
        <v>44</v>
      </c>
      <c r="J15" s="82" t="s">
        <v>44</v>
      </c>
      <c r="K15" s="82" t="s">
        <v>46</v>
      </c>
      <c r="L15" s="82" t="s">
        <v>46</v>
      </c>
      <c r="M15" s="82" t="s">
        <v>44</v>
      </c>
      <c r="N15" s="82" t="s">
        <v>44</v>
      </c>
      <c r="O15" s="82" t="s">
        <v>44</v>
      </c>
      <c r="P15" s="82" t="s">
        <v>46</v>
      </c>
      <c r="Q15" s="82" t="s">
        <v>44</v>
      </c>
      <c r="R15" s="82" t="s">
        <v>46</v>
      </c>
      <c r="S15" s="82" t="s">
        <v>45</v>
      </c>
      <c r="T15" s="83" t="s">
        <v>44</v>
      </c>
      <c r="U15" s="83" t="s">
        <v>44</v>
      </c>
      <c r="V15" s="83" t="s">
        <v>44</v>
      </c>
      <c r="W15" s="83" t="s">
        <v>44</v>
      </c>
      <c r="X15" s="83" t="s">
        <v>44</v>
      </c>
      <c r="Y15" s="83" t="s">
        <v>45</v>
      </c>
      <c r="Z15" s="82" t="s">
        <v>44</v>
      </c>
      <c r="AA15" s="48">
        <f t="shared" si="2"/>
        <v>2</v>
      </c>
      <c r="AB15" s="49">
        <f t="shared" si="3"/>
        <v>2</v>
      </c>
      <c r="AC15" s="50" t="str">
        <f t="shared" si="4"/>
        <v>E</v>
      </c>
      <c r="AD15" s="57"/>
    </row>
    <row r="16" spans="1:30" ht="15.75" customHeight="1" x14ac:dyDescent="0.25">
      <c r="A16" s="4"/>
      <c r="B16" s="70" t="s">
        <v>68</v>
      </c>
      <c r="C16" s="71" t="str">
        <f t="shared" si="0"/>
        <v>Espanha</v>
      </c>
      <c r="D16" s="71" t="str">
        <f t="shared" si="1"/>
        <v>Cabo Verde</v>
      </c>
      <c r="E16" s="72" t="s">
        <v>69</v>
      </c>
      <c r="F16" s="7"/>
      <c r="G16" s="73" t="s">
        <v>44</v>
      </c>
      <c r="H16" s="91" t="s">
        <v>44</v>
      </c>
      <c r="I16" s="91" t="s">
        <v>44</v>
      </c>
      <c r="J16" s="91" t="s">
        <v>44</v>
      </c>
      <c r="K16" s="91" t="s">
        <v>44</v>
      </c>
      <c r="L16" s="91" t="s">
        <v>44</v>
      </c>
      <c r="M16" s="91" t="s">
        <v>44</v>
      </c>
      <c r="N16" s="91" t="s">
        <v>44</v>
      </c>
      <c r="O16" s="91" t="s">
        <v>44</v>
      </c>
      <c r="P16" s="91" t="s">
        <v>44</v>
      </c>
      <c r="Q16" s="91" t="s">
        <v>44</v>
      </c>
      <c r="R16" s="91" t="s">
        <v>44</v>
      </c>
      <c r="S16" s="91" t="s">
        <v>44</v>
      </c>
      <c r="T16" s="91" t="s">
        <v>44</v>
      </c>
      <c r="U16" s="91" t="s">
        <v>44</v>
      </c>
      <c r="V16" s="91" t="s">
        <v>44</v>
      </c>
      <c r="W16" s="91" t="s">
        <v>44</v>
      </c>
      <c r="X16" s="91" t="s">
        <v>44</v>
      </c>
      <c r="Y16" s="91" t="s">
        <v>44</v>
      </c>
      <c r="Z16" s="92" t="s">
        <v>44</v>
      </c>
      <c r="AA16" s="48">
        <f t="shared" si="2"/>
        <v>0</v>
      </c>
      <c r="AB16" s="49">
        <f t="shared" si="3"/>
        <v>0</v>
      </c>
      <c r="AC16" s="50" t="str">
        <f t="shared" si="4"/>
        <v>E</v>
      </c>
      <c r="AD16" s="57"/>
    </row>
    <row r="17" spans="1:30" ht="15.75" customHeight="1" x14ac:dyDescent="0.25">
      <c r="A17" s="4"/>
      <c r="B17" s="76" t="s">
        <v>70</v>
      </c>
      <c r="C17" s="77" t="str">
        <f t="shared" si="0"/>
        <v>Arábia Saudita</v>
      </c>
      <c r="D17" s="77" t="str">
        <f t="shared" si="1"/>
        <v>Uruguai</v>
      </c>
      <c r="E17" s="78" t="s">
        <v>50</v>
      </c>
      <c r="F17" s="7"/>
      <c r="G17" s="45" t="s">
        <v>45</v>
      </c>
      <c r="H17" s="93" t="s">
        <v>45</v>
      </c>
      <c r="I17" s="93" t="s">
        <v>45</v>
      </c>
      <c r="J17" s="93" t="s">
        <v>45</v>
      </c>
      <c r="K17" s="93" t="s">
        <v>45</v>
      </c>
      <c r="L17" s="93" t="s">
        <v>45</v>
      </c>
      <c r="M17" s="93" t="s">
        <v>45</v>
      </c>
      <c r="N17" s="93" t="s">
        <v>45</v>
      </c>
      <c r="O17" s="93" t="s">
        <v>45</v>
      </c>
      <c r="P17" s="93" t="s">
        <v>45</v>
      </c>
      <c r="Q17" s="46" t="s">
        <v>44</v>
      </c>
      <c r="R17" s="46" t="s">
        <v>45</v>
      </c>
      <c r="S17" s="46" t="s">
        <v>45</v>
      </c>
      <c r="T17" s="46" t="s">
        <v>45</v>
      </c>
      <c r="U17" s="46" t="s">
        <v>45</v>
      </c>
      <c r="V17" s="46" t="s">
        <v>45</v>
      </c>
      <c r="W17" s="46" t="s">
        <v>45</v>
      </c>
      <c r="X17" s="46" t="s">
        <v>45</v>
      </c>
      <c r="Y17" s="46" t="s">
        <v>45</v>
      </c>
      <c r="Z17" s="46" t="s">
        <v>45</v>
      </c>
      <c r="AA17" s="48">
        <f t="shared" si="2"/>
        <v>1</v>
      </c>
      <c r="AB17" s="49">
        <f t="shared" si="3"/>
        <v>1</v>
      </c>
      <c r="AC17" s="50" t="str">
        <f t="shared" si="4"/>
        <v>E</v>
      </c>
      <c r="AD17" s="57"/>
    </row>
    <row r="18" spans="1:30" ht="15.75" customHeight="1" x14ac:dyDescent="0.25">
      <c r="A18" s="3">
        <v>46189</v>
      </c>
      <c r="B18" s="51" t="s">
        <v>71</v>
      </c>
      <c r="C18" s="52" t="str">
        <f t="shared" si="0"/>
        <v>França</v>
      </c>
      <c r="D18" s="52" t="str">
        <f t="shared" si="1"/>
        <v>Senegal</v>
      </c>
      <c r="E18" s="53" t="s">
        <v>72</v>
      </c>
      <c r="F18" s="7"/>
      <c r="G18" s="62" t="s">
        <v>44</v>
      </c>
      <c r="H18" s="63" t="s">
        <v>44</v>
      </c>
      <c r="I18" s="63" t="s">
        <v>44</v>
      </c>
      <c r="J18" s="63" t="s">
        <v>44</v>
      </c>
      <c r="K18" s="63" t="s">
        <v>44</v>
      </c>
      <c r="L18" s="63" t="s">
        <v>44</v>
      </c>
      <c r="M18" s="63" t="s">
        <v>44</v>
      </c>
      <c r="N18" s="63" t="s">
        <v>44</v>
      </c>
      <c r="O18" s="63" t="s">
        <v>44</v>
      </c>
      <c r="P18" s="63" t="s">
        <v>44</v>
      </c>
      <c r="Q18" s="63" t="s">
        <v>44</v>
      </c>
      <c r="R18" s="63" t="s">
        <v>44</v>
      </c>
      <c r="S18" s="63" t="s">
        <v>44</v>
      </c>
      <c r="T18" s="63" t="s">
        <v>44</v>
      </c>
      <c r="U18" s="64" t="s">
        <v>44</v>
      </c>
      <c r="V18" s="64" t="s">
        <v>44</v>
      </c>
      <c r="W18" s="64" t="s">
        <v>44</v>
      </c>
      <c r="X18" s="64" t="s">
        <v>44</v>
      </c>
      <c r="Y18" s="64" t="s">
        <v>44</v>
      </c>
      <c r="Z18" s="63" t="s">
        <v>44</v>
      </c>
      <c r="AA18" s="48">
        <f t="shared" si="2"/>
        <v>3</v>
      </c>
      <c r="AB18" s="49">
        <f t="shared" si="3"/>
        <v>1</v>
      </c>
      <c r="AC18" s="50" t="str">
        <f t="shared" si="4"/>
        <v>A</v>
      </c>
      <c r="AD18" s="57"/>
    </row>
    <row r="19" spans="1:30" ht="15.75" customHeight="1" x14ac:dyDescent="0.25">
      <c r="A19" s="3"/>
      <c r="B19" s="79" t="s">
        <v>73</v>
      </c>
      <c r="C19" s="80" t="str">
        <f t="shared" si="0"/>
        <v>Iraque</v>
      </c>
      <c r="D19" s="80" t="str">
        <f t="shared" si="1"/>
        <v>Noruega</v>
      </c>
      <c r="E19" s="81" t="s">
        <v>74</v>
      </c>
      <c r="F19" s="7"/>
      <c r="G19" s="68" t="s">
        <v>46</v>
      </c>
      <c r="H19" s="82" t="s">
        <v>45</v>
      </c>
      <c r="I19" s="82" t="s">
        <v>45</v>
      </c>
      <c r="J19" s="82" t="s">
        <v>45</v>
      </c>
      <c r="K19" s="82" t="s">
        <v>45</v>
      </c>
      <c r="L19" s="82" t="s">
        <v>46</v>
      </c>
      <c r="M19" s="82" t="s">
        <v>45</v>
      </c>
      <c r="N19" s="82" t="s">
        <v>45</v>
      </c>
      <c r="O19" s="82" t="s">
        <v>46</v>
      </c>
      <c r="P19" s="82" t="s">
        <v>45</v>
      </c>
      <c r="Q19" s="82" t="s">
        <v>44</v>
      </c>
      <c r="R19" s="82" t="s">
        <v>46</v>
      </c>
      <c r="S19" s="82" t="s">
        <v>45</v>
      </c>
      <c r="T19" s="82" t="s">
        <v>45</v>
      </c>
      <c r="U19" s="83" t="s">
        <v>45</v>
      </c>
      <c r="V19" s="83" t="s">
        <v>45</v>
      </c>
      <c r="W19" s="83" t="s">
        <v>45</v>
      </c>
      <c r="X19" s="83" t="s">
        <v>45</v>
      </c>
      <c r="Y19" s="83" t="s">
        <v>45</v>
      </c>
      <c r="Z19" s="82" t="s">
        <v>44</v>
      </c>
      <c r="AA19" s="48">
        <f t="shared" si="2"/>
        <v>1</v>
      </c>
      <c r="AB19" s="49">
        <f t="shared" si="3"/>
        <v>4</v>
      </c>
      <c r="AC19" s="50" t="str">
        <f t="shared" si="4"/>
        <v>B</v>
      </c>
      <c r="AD19" s="57"/>
    </row>
    <row r="20" spans="1:30" ht="15.75" customHeight="1" x14ac:dyDescent="0.25">
      <c r="A20" s="3"/>
      <c r="B20" s="84" t="s">
        <v>75</v>
      </c>
      <c r="C20" s="85" t="str">
        <f t="shared" si="0"/>
        <v>Argentina</v>
      </c>
      <c r="D20" s="85" t="str">
        <f t="shared" si="1"/>
        <v>Argélia</v>
      </c>
      <c r="E20" s="86" t="s">
        <v>76</v>
      </c>
      <c r="F20" s="7"/>
      <c r="G20" s="73" t="s">
        <v>44</v>
      </c>
      <c r="H20" s="74" t="s">
        <v>44</v>
      </c>
      <c r="I20" s="74" t="s">
        <v>44</v>
      </c>
      <c r="J20" s="74" t="s">
        <v>44</v>
      </c>
      <c r="K20" s="74" t="s">
        <v>44</v>
      </c>
      <c r="L20" s="74" t="s">
        <v>44</v>
      </c>
      <c r="M20" s="74" t="s">
        <v>44</v>
      </c>
      <c r="N20" s="74" t="s">
        <v>44</v>
      </c>
      <c r="O20" s="74" t="s">
        <v>44</v>
      </c>
      <c r="P20" s="74" t="s">
        <v>44</v>
      </c>
      <c r="Q20" s="74" t="s">
        <v>44</v>
      </c>
      <c r="R20" s="74" t="s">
        <v>44</v>
      </c>
      <c r="S20" s="74" t="s">
        <v>44</v>
      </c>
      <c r="T20" s="74" t="s">
        <v>46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4" t="s">
        <v>44</v>
      </c>
      <c r="AA20" s="48">
        <f t="shared" si="2"/>
        <v>3</v>
      </c>
      <c r="AB20" s="49">
        <f t="shared" si="3"/>
        <v>0</v>
      </c>
      <c r="AC20" s="50" t="str">
        <f t="shared" si="4"/>
        <v>A</v>
      </c>
      <c r="AD20" s="57"/>
    </row>
    <row r="21" spans="1:30" ht="15.75" customHeight="1" x14ac:dyDescent="0.25">
      <c r="A21" s="3"/>
      <c r="B21" s="87" t="s">
        <v>77</v>
      </c>
      <c r="C21" s="88" t="str">
        <f t="shared" si="0"/>
        <v>Áustria</v>
      </c>
      <c r="D21" s="88" t="str">
        <f t="shared" si="1"/>
        <v>Jordânia</v>
      </c>
      <c r="E21" s="89" t="s">
        <v>72</v>
      </c>
      <c r="F21" s="7"/>
      <c r="G21" s="94" t="s">
        <v>44</v>
      </c>
      <c r="H21" s="95" t="s">
        <v>46</v>
      </c>
      <c r="I21" s="95" t="s">
        <v>46</v>
      </c>
      <c r="J21" s="96" t="s">
        <v>44</v>
      </c>
      <c r="K21" s="96" t="s">
        <v>44</v>
      </c>
      <c r="L21" s="96" t="s">
        <v>44</v>
      </c>
      <c r="M21" s="96" t="s">
        <v>44</v>
      </c>
      <c r="N21" s="96" t="s">
        <v>44</v>
      </c>
      <c r="O21" s="96" t="s">
        <v>44</v>
      </c>
      <c r="P21" s="96" t="s">
        <v>44</v>
      </c>
      <c r="Q21" s="96" t="s">
        <v>44</v>
      </c>
      <c r="R21" s="96" t="s">
        <v>44</v>
      </c>
      <c r="S21" s="95" t="s">
        <v>46</v>
      </c>
      <c r="T21" s="96" t="s">
        <v>44</v>
      </c>
      <c r="U21" s="97" t="s">
        <v>44</v>
      </c>
      <c r="V21" s="98" t="s">
        <v>46</v>
      </c>
      <c r="W21" s="97" t="s">
        <v>44</v>
      </c>
      <c r="X21" s="98" t="s">
        <v>46</v>
      </c>
      <c r="Y21" s="97" t="s">
        <v>44</v>
      </c>
      <c r="Z21" s="96" t="s">
        <v>44</v>
      </c>
      <c r="AA21" s="48">
        <f t="shared" si="2"/>
        <v>3</v>
      </c>
      <c r="AB21" s="49">
        <f t="shared" si="3"/>
        <v>1</v>
      </c>
      <c r="AC21" s="50" t="str">
        <f t="shared" si="4"/>
        <v>A</v>
      </c>
      <c r="AD21" s="57"/>
    </row>
    <row r="22" spans="1:30" ht="15.75" customHeight="1" x14ac:dyDescent="0.25">
      <c r="A22" s="4">
        <v>46190</v>
      </c>
      <c r="B22" s="60" t="s">
        <v>78</v>
      </c>
      <c r="C22" s="61" t="str">
        <f t="shared" si="0"/>
        <v>Portugal</v>
      </c>
      <c r="D22" s="61" t="str">
        <f t="shared" si="1"/>
        <v>Rep. Dem. Congo</v>
      </c>
      <c r="E22" s="35" t="s">
        <v>50</v>
      </c>
      <c r="F22" s="7"/>
      <c r="G22" s="99" t="s">
        <v>44</v>
      </c>
      <c r="H22" s="100" t="s">
        <v>44</v>
      </c>
      <c r="I22" s="100" t="s">
        <v>44</v>
      </c>
      <c r="J22" s="100" t="s">
        <v>44</v>
      </c>
      <c r="K22" s="100" t="s">
        <v>44</v>
      </c>
      <c r="L22" s="100" t="s">
        <v>44</v>
      </c>
      <c r="M22" s="100" t="s">
        <v>44</v>
      </c>
      <c r="N22" s="100" t="s">
        <v>44</v>
      </c>
      <c r="O22" s="100" t="s">
        <v>44</v>
      </c>
      <c r="P22" s="100" t="s">
        <v>44</v>
      </c>
      <c r="Q22" s="100" t="s">
        <v>44</v>
      </c>
      <c r="R22" s="100" t="s">
        <v>44</v>
      </c>
      <c r="S22" s="100" t="s">
        <v>44</v>
      </c>
      <c r="T22" s="100" t="s">
        <v>44</v>
      </c>
      <c r="U22" s="100" t="s">
        <v>44</v>
      </c>
      <c r="V22" s="100" t="s">
        <v>44</v>
      </c>
      <c r="W22" s="100" t="s">
        <v>44</v>
      </c>
      <c r="X22" s="100" t="s">
        <v>44</v>
      </c>
      <c r="Y22" s="100" t="s">
        <v>44</v>
      </c>
      <c r="Z22" s="101" t="s">
        <v>44</v>
      </c>
      <c r="AA22" s="48">
        <f t="shared" si="2"/>
        <v>1</v>
      </c>
      <c r="AB22" s="49">
        <f t="shared" si="3"/>
        <v>1</v>
      </c>
      <c r="AC22" s="50" t="str">
        <f t="shared" si="4"/>
        <v>E</v>
      </c>
      <c r="AD22" s="57"/>
    </row>
    <row r="23" spans="1:30" ht="15.75" customHeight="1" x14ac:dyDescent="0.25">
      <c r="A23" s="4"/>
      <c r="B23" s="65" t="s">
        <v>79</v>
      </c>
      <c r="C23" s="66" t="str">
        <f t="shared" si="0"/>
        <v>Uzbequistão</v>
      </c>
      <c r="D23" s="66" t="str">
        <f t="shared" si="1"/>
        <v>Colômbia</v>
      </c>
      <c r="E23" s="35" t="s">
        <v>80</v>
      </c>
      <c r="F23" s="7"/>
      <c r="G23" s="68" t="s">
        <v>45</v>
      </c>
      <c r="H23" s="102" t="s">
        <v>45</v>
      </c>
      <c r="I23" s="102" t="s">
        <v>45</v>
      </c>
      <c r="J23" s="102" t="s">
        <v>46</v>
      </c>
      <c r="K23" s="102" t="s">
        <v>45</v>
      </c>
      <c r="L23" s="102" t="s">
        <v>45</v>
      </c>
      <c r="M23" s="102" t="s">
        <v>45</v>
      </c>
      <c r="N23" s="102" t="s">
        <v>45</v>
      </c>
      <c r="O23" s="102" t="s">
        <v>45</v>
      </c>
      <c r="P23" s="102" t="s">
        <v>45</v>
      </c>
      <c r="Q23" s="102" t="s">
        <v>45</v>
      </c>
      <c r="R23" s="102" t="s">
        <v>45</v>
      </c>
      <c r="S23" s="102" t="s">
        <v>45</v>
      </c>
      <c r="T23" s="102" t="s">
        <v>45</v>
      </c>
      <c r="U23" s="102" t="s">
        <v>45</v>
      </c>
      <c r="V23" s="102" t="s">
        <v>45</v>
      </c>
      <c r="W23" s="102" t="s">
        <v>45</v>
      </c>
      <c r="X23" s="102" t="s">
        <v>45</v>
      </c>
      <c r="Y23" s="102" t="s">
        <v>45</v>
      </c>
      <c r="Z23" s="103" t="s">
        <v>45</v>
      </c>
      <c r="AA23" s="48">
        <f t="shared" si="2"/>
        <v>1</v>
      </c>
      <c r="AB23" s="49">
        <f t="shared" si="3"/>
        <v>3</v>
      </c>
      <c r="AC23" s="50" t="str">
        <f t="shared" si="4"/>
        <v>B</v>
      </c>
      <c r="AD23" s="57"/>
    </row>
    <row r="24" spans="1:30" ht="15.75" customHeight="1" x14ac:dyDescent="0.25">
      <c r="A24" s="4"/>
      <c r="B24" s="70" t="s">
        <v>81</v>
      </c>
      <c r="C24" s="71" t="str">
        <f t="shared" si="0"/>
        <v>Inglaterra</v>
      </c>
      <c r="D24" s="71" t="str">
        <f t="shared" si="1"/>
        <v>Croácia</v>
      </c>
      <c r="E24" s="35" t="s">
        <v>82</v>
      </c>
      <c r="F24" s="7"/>
      <c r="G24" s="104" t="s">
        <v>44</v>
      </c>
      <c r="H24" s="105" t="s">
        <v>44</v>
      </c>
      <c r="I24" s="105" t="s">
        <v>44</v>
      </c>
      <c r="J24" s="105" t="s">
        <v>44</v>
      </c>
      <c r="K24" s="105" t="s">
        <v>44</v>
      </c>
      <c r="L24" s="105" t="s">
        <v>44</v>
      </c>
      <c r="M24" s="105" t="s">
        <v>44</v>
      </c>
      <c r="N24" s="105" t="s">
        <v>44</v>
      </c>
      <c r="O24" s="106" t="s">
        <v>46</v>
      </c>
      <c r="P24" s="106" t="s">
        <v>44</v>
      </c>
      <c r="Q24" s="106" t="s">
        <v>45</v>
      </c>
      <c r="R24" s="106" t="s">
        <v>44</v>
      </c>
      <c r="S24" s="106" t="s">
        <v>45</v>
      </c>
      <c r="T24" s="106" t="s">
        <v>46</v>
      </c>
      <c r="U24" s="107" t="s">
        <v>44</v>
      </c>
      <c r="V24" s="107" t="s">
        <v>44</v>
      </c>
      <c r="W24" s="107" t="s">
        <v>46</v>
      </c>
      <c r="X24" s="107" t="s">
        <v>44</v>
      </c>
      <c r="Y24" s="107" t="s">
        <v>46</v>
      </c>
      <c r="Z24" s="106" t="s">
        <v>45</v>
      </c>
      <c r="AA24" s="48">
        <f t="shared" si="2"/>
        <v>4</v>
      </c>
      <c r="AB24" s="49">
        <f t="shared" si="3"/>
        <v>2</v>
      </c>
      <c r="AC24" s="50" t="str">
        <f t="shared" si="4"/>
        <v>A</v>
      </c>
      <c r="AD24" s="57"/>
    </row>
    <row r="25" spans="1:30" ht="15.75" customHeight="1" x14ac:dyDescent="0.25">
      <c r="A25" s="4"/>
      <c r="B25" s="76" t="s">
        <v>83</v>
      </c>
      <c r="C25" s="77" t="str">
        <f t="shared" si="0"/>
        <v>Gana</v>
      </c>
      <c r="D25" s="77" t="str">
        <f t="shared" si="1"/>
        <v>Panamá</v>
      </c>
      <c r="E25" s="35" t="s">
        <v>61</v>
      </c>
      <c r="F25" s="7"/>
      <c r="G25" s="108" t="s">
        <v>44</v>
      </c>
      <c r="H25" s="109" t="s">
        <v>44</v>
      </c>
      <c r="I25" s="109" t="s">
        <v>44</v>
      </c>
      <c r="J25" s="109" t="s">
        <v>46</v>
      </c>
      <c r="K25" s="109" t="s">
        <v>44</v>
      </c>
      <c r="L25" s="109" t="s">
        <v>46</v>
      </c>
      <c r="M25" s="109" t="s">
        <v>44</v>
      </c>
      <c r="N25" s="109" t="s">
        <v>44</v>
      </c>
      <c r="O25" s="109" t="s">
        <v>44</v>
      </c>
      <c r="P25" s="109" t="s">
        <v>44</v>
      </c>
      <c r="Q25" s="109" t="s">
        <v>44</v>
      </c>
      <c r="R25" s="109" t="s">
        <v>44</v>
      </c>
      <c r="S25" s="109" t="s">
        <v>46</v>
      </c>
      <c r="T25" s="109" t="s">
        <v>44</v>
      </c>
      <c r="U25" s="109" t="s">
        <v>44</v>
      </c>
      <c r="V25" s="109" t="s">
        <v>44</v>
      </c>
      <c r="W25" s="109" t="s">
        <v>44</v>
      </c>
      <c r="X25" s="109" t="s">
        <v>44</v>
      </c>
      <c r="Y25" s="109" t="s">
        <v>44</v>
      </c>
      <c r="Z25" s="109" t="s">
        <v>44</v>
      </c>
      <c r="AA25" s="48">
        <f t="shared" si="2"/>
        <v>1</v>
      </c>
      <c r="AB25" s="49">
        <f t="shared" si="3"/>
        <v>0</v>
      </c>
      <c r="AC25" s="50" t="str">
        <f t="shared" si="4"/>
        <v>A</v>
      </c>
      <c r="AD25" s="57"/>
    </row>
    <row r="26" spans="1:30" ht="15.75" customHeight="1" x14ac:dyDescent="0.25">
      <c r="A26" s="3">
        <v>46191</v>
      </c>
      <c r="B26" s="51" t="s">
        <v>84</v>
      </c>
      <c r="C26" s="52" t="str">
        <f t="shared" si="0"/>
        <v>Tchéquia</v>
      </c>
      <c r="D26" s="52" t="str">
        <f t="shared" si="1"/>
        <v>África do Sul</v>
      </c>
      <c r="E26" s="35" t="s">
        <v>50</v>
      </c>
      <c r="F26" s="7"/>
      <c r="G26" s="62" t="s">
        <v>44</v>
      </c>
      <c r="H26" s="63" t="s">
        <v>44</v>
      </c>
      <c r="I26" s="63" t="s">
        <v>44</v>
      </c>
      <c r="J26" s="63" t="s">
        <v>44</v>
      </c>
      <c r="K26" s="63" t="s">
        <v>44</v>
      </c>
      <c r="L26" s="63" t="s">
        <v>44</v>
      </c>
      <c r="M26" s="63" t="s">
        <v>44</v>
      </c>
      <c r="N26" s="63" t="s">
        <v>44</v>
      </c>
      <c r="O26" s="63" t="s">
        <v>44</v>
      </c>
      <c r="P26" s="63" t="s">
        <v>44</v>
      </c>
      <c r="Q26" s="63" t="s">
        <v>44</v>
      </c>
      <c r="R26" s="63" t="s">
        <v>46</v>
      </c>
      <c r="S26" s="63" t="s">
        <v>46</v>
      </c>
      <c r="T26" s="63" t="s">
        <v>44</v>
      </c>
      <c r="U26" s="64" t="s">
        <v>44</v>
      </c>
      <c r="V26" s="64" t="s">
        <v>44</v>
      </c>
      <c r="W26" s="64" t="s">
        <v>45</v>
      </c>
      <c r="X26" s="64" t="s">
        <v>45</v>
      </c>
      <c r="Y26" s="64" t="s">
        <v>44</v>
      </c>
      <c r="Z26" s="63" t="s">
        <v>44</v>
      </c>
      <c r="AA26" s="48">
        <f t="shared" si="2"/>
        <v>1</v>
      </c>
      <c r="AB26" s="49">
        <f t="shared" si="3"/>
        <v>1</v>
      </c>
      <c r="AC26" s="50" t="str">
        <f t="shared" si="4"/>
        <v>E</v>
      </c>
      <c r="AD26" s="57"/>
    </row>
    <row r="27" spans="1:30" ht="15.75" customHeight="1" x14ac:dyDescent="0.25">
      <c r="A27" s="3"/>
      <c r="B27" s="79" t="s">
        <v>85</v>
      </c>
      <c r="C27" s="80" t="str">
        <f t="shared" si="0"/>
        <v>México</v>
      </c>
      <c r="D27" s="80" t="str">
        <f t="shared" si="1"/>
        <v>Coreia do Sul</v>
      </c>
      <c r="E27" s="35" t="s">
        <v>61</v>
      </c>
      <c r="F27" s="7"/>
      <c r="G27" s="68" t="s">
        <v>44</v>
      </c>
      <c r="H27" s="82" t="s">
        <v>44</v>
      </c>
      <c r="I27" s="82" t="s">
        <v>45</v>
      </c>
      <c r="J27" s="82" t="s">
        <v>44</v>
      </c>
      <c r="K27" s="82" t="s">
        <v>45</v>
      </c>
      <c r="L27" s="82" t="s">
        <v>45</v>
      </c>
      <c r="M27" s="82" t="s">
        <v>44</v>
      </c>
      <c r="N27" s="82" t="s">
        <v>44</v>
      </c>
      <c r="O27" s="82" t="s">
        <v>44</v>
      </c>
      <c r="P27" s="82" t="s">
        <v>45</v>
      </c>
      <c r="Q27" s="82" t="s">
        <v>44</v>
      </c>
      <c r="R27" s="82" t="s">
        <v>46</v>
      </c>
      <c r="S27" s="82" t="s">
        <v>46</v>
      </c>
      <c r="T27" s="82" t="s">
        <v>46</v>
      </c>
      <c r="U27" s="83" t="s">
        <v>44</v>
      </c>
      <c r="V27" s="83" t="s">
        <v>45</v>
      </c>
      <c r="W27" s="83" t="s">
        <v>45</v>
      </c>
      <c r="X27" s="83" t="s">
        <v>45</v>
      </c>
      <c r="Y27" s="83" t="s">
        <v>45</v>
      </c>
      <c r="Z27" s="82"/>
      <c r="AA27" s="48">
        <f t="shared" si="2"/>
        <v>1</v>
      </c>
      <c r="AB27" s="49">
        <f t="shared" si="3"/>
        <v>0</v>
      </c>
      <c r="AC27" s="50" t="str">
        <f t="shared" si="4"/>
        <v>A</v>
      </c>
      <c r="AD27" s="57"/>
    </row>
    <row r="28" spans="1:30" ht="15.75" customHeight="1" x14ac:dyDescent="0.25">
      <c r="A28" s="3"/>
      <c r="B28" s="84" t="s">
        <v>86</v>
      </c>
      <c r="C28" s="85" t="str">
        <f t="shared" si="0"/>
        <v>Suíça</v>
      </c>
      <c r="D28" s="85" t="str">
        <f t="shared" si="1"/>
        <v>Bósnia e Herzeg.</v>
      </c>
      <c r="E28" s="35" t="s">
        <v>52</v>
      </c>
      <c r="F28" s="7"/>
      <c r="G28" s="73" t="s">
        <v>44</v>
      </c>
      <c r="H28" s="74" t="s">
        <v>44</v>
      </c>
      <c r="I28" s="74" t="s">
        <v>46</v>
      </c>
      <c r="J28" s="74" t="s">
        <v>44</v>
      </c>
      <c r="K28" s="74" t="s">
        <v>44</v>
      </c>
      <c r="L28" s="74" t="s">
        <v>44</v>
      </c>
      <c r="M28" s="74" t="s">
        <v>44</v>
      </c>
      <c r="N28" s="74" t="s">
        <v>44</v>
      </c>
      <c r="O28" s="74" t="s">
        <v>44</v>
      </c>
      <c r="P28" s="74" t="s">
        <v>44</v>
      </c>
      <c r="Q28" s="74" t="s">
        <v>44</v>
      </c>
      <c r="R28" s="74" t="s">
        <v>46</v>
      </c>
      <c r="S28" s="74" t="s">
        <v>44</v>
      </c>
      <c r="T28" s="74" t="s">
        <v>46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4"/>
      <c r="AA28" s="48">
        <f t="shared" si="2"/>
        <v>4</v>
      </c>
      <c r="AB28" s="49">
        <f t="shared" si="3"/>
        <v>1</v>
      </c>
      <c r="AC28" s="50" t="str">
        <f t="shared" si="4"/>
        <v>A</v>
      </c>
      <c r="AD28" s="57"/>
    </row>
    <row r="29" spans="1:30" ht="15.75" customHeight="1" x14ac:dyDescent="0.25">
      <c r="A29" s="3"/>
      <c r="B29" s="87" t="s">
        <v>87</v>
      </c>
      <c r="C29" s="88" t="str">
        <f t="shared" si="0"/>
        <v>Canadá</v>
      </c>
      <c r="D29" s="88" t="str">
        <f t="shared" si="1"/>
        <v>Catar</v>
      </c>
      <c r="E29" s="35" t="s">
        <v>88</v>
      </c>
      <c r="F29" s="7"/>
      <c r="G29" s="45" t="s">
        <v>44</v>
      </c>
      <c r="H29" s="46" t="s">
        <v>44</v>
      </c>
      <c r="I29" s="46" t="s">
        <v>44</v>
      </c>
      <c r="J29" s="46" t="s">
        <v>44</v>
      </c>
      <c r="K29" s="46" t="s">
        <v>44</v>
      </c>
      <c r="L29" s="46" t="s">
        <v>44</v>
      </c>
      <c r="M29" s="46" t="s">
        <v>44</v>
      </c>
      <c r="N29" s="46" t="s">
        <v>44</v>
      </c>
      <c r="O29" s="46" t="s">
        <v>44</v>
      </c>
      <c r="P29" s="46" t="s">
        <v>44</v>
      </c>
      <c r="Q29" s="46" t="s">
        <v>44</v>
      </c>
      <c r="R29" s="46" t="s">
        <v>44</v>
      </c>
      <c r="S29" s="46" t="s">
        <v>46</v>
      </c>
      <c r="T29" s="46" t="s">
        <v>44</v>
      </c>
      <c r="U29" s="47" t="s">
        <v>44</v>
      </c>
      <c r="V29" s="47" t="s">
        <v>44</v>
      </c>
      <c r="W29" s="47" t="s">
        <v>45</v>
      </c>
      <c r="X29" s="47" t="s">
        <v>45</v>
      </c>
      <c r="Y29" s="47" t="s">
        <v>44</v>
      </c>
      <c r="Z29" s="46"/>
      <c r="AA29" s="48">
        <f t="shared" si="2"/>
        <v>6</v>
      </c>
      <c r="AB29" s="49">
        <f t="shared" si="3"/>
        <v>0</v>
      </c>
      <c r="AC29" s="50" t="str">
        <f t="shared" si="4"/>
        <v>A</v>
      </c>
      <c r="AD29" s="57"/>
    </row>
    <row r="30" spans="1:30" ht="15.75" customHeight="1" x14ac:dyDescent="0.25">
      <c r="A30" s="4">
        <v>46192</v>
      </c>
      <c r="B30" s="60" t="s">
        <v>89</v>
      </c>
      <c r="C30" s="61" t="str">
        <f t="shared" si="0"/>
        <v>Escócia</v>
      </c>
      <c r="D30" s="61" t="str">
        <f t="shared" si="1"/>
        <v>Marrocos</v>
      </c>
      <c r="E30" s="35" t="s">
        <v>56</v>
      </c>
      <c r="F30" s="7"/>
      <c r="G30" s="62" t="s">
        <v>45</v>
      </c>
      <c r="H30" s="63" t="s">
        <v>45</v>
      </c>
      <c r="I30" s="63" t="s">
        <v>45</v>
      </c>
      <c r="J30" s="63" t="s">
        <v>45</v>
      </c>
      <c r="K30" s="63" t="s">
        <v>45</v>
      </c>
      <c r="L30" s="63" t="s">
        <v>45</v>
      </c>
      <c r="M30" s="63" t="s">
        <v>45</v>
      </c>
      <c r="N30" s="63" t="s">
        <v>45</v>
      </c>
      <c r="O30" s="63" t="s">
        <v>45</v>
      </c>
      <c r="P30" s="63" t="s">
        <v>45</v>
      </c>
      <c r="Q30" s="63" t="s">
        <v>45</v>
      </c>
      <c r="R30" s="63" t="s">
        <v>45</v>
      </c>
      <c r="S30" s="63"/>
      <c r="T30" s="63" t="s">
        <v>46</v>
      </c>
      <c r="U30" s="64" t="s">
        <v>45</v>
      </c>
      <c r="V30" s="64" t="s">
        <v>45</v>
      </c>
      <c r="W30" s="64" t="s">
        <v>45</v>
      </c>
      <c r="X30" s="64" t="s">
        <v>45</v>
      </c>
      <c r="Y30" s="64" t="s">
        <v>45</v>
      </c>
      <c r="Z30" s="63" t="s">
        <v>45</v>
      </c>
      <c r="AA30" s="48">
        <f t="shared" si="2"/>
        <v>0</v>
      </c>
      <c r="AB30" s="49">
        <f t="shared" si="3"/>
        <v>1</v>
      </c>
      <c r="AC30" s="50" t="str">
        <f t="shared" si="4"/>
        <v>B</v>
      </c>
      <c r="AD30" s="57"/>
    </row>
    <row r="31" spans="1:30" ht="15.75" customHeight="1" x14ac:dyDescent="0.25">
      <c r="A31" s="4"/>
      <c r="B31" s="65" t="s">
        <v>90</v>
      </c>
      <c r="C31" s="66" t="str">
        <f t="shared" si="0"/>
        <v>Brasil</v>
      </c>
      <c r="D31" s="66" t="str">
        <f t="shared" si="1"/>
        <v>Haiti</v>
      </c>
      <c r="E31" s="67" t="s">
        <v>76</v>
      </c>
      <c r="F31" s="7"/>
      <c r="G31" s="68" t="s">
        <v>44</v>
      </c>
      <c r="H31" s="82" t="s">
        <v>44</v>
      </c>
      <c r="I31" s="82" t="s">
        <v>44</v>
      </c>
      <c r="J31" s="82" t="s">
        <v>44</v>
      </c>
      <c r="K31" s="82" t="s">
        <v>44</v>
      </c>
      <c r="L31" s="82" t="s">
        <v>44</v>
      </c>
      <c r="M31" s="82" t="s">
        <v>44</v>
      </c>
      <c r="N31" s="82" t="s">
        <v>44</v>
      </c>
      <c r="O31" s="82" t="s">
        <v>44</v>
      </c>
      <c r="P31" s="82" t="s">
        <v>44</v>
      </c>
      <c r="Q31" s="82" t="s">
        <v>44</v>
      </c>
      <c r="R31" s="82" t="s">
        <v>44</v>
      </c>
      <c r="S31" s="82" t="s">
        <v>44</v>
      </c>
      <c r="T31" s="82" t="s">
        <v>44</v>
      </c>
      <c r="U31" s="83" t="s">
        <v>44</v>
      </c>
      <c r="V31" s="83" t="s">
        <v>44</v>
      </c>
      <c r="W31" s="83" t="s">
        <v>44</v>
      </c>
      <c r="X31" s="83" t="s">
        <v>44</v>
      </c>
      <c r="Y31" s="83" t="s">
        <v>44</v>
      </c>
      <c r="Z31" s="82" t="s">
        <v>44</v>
      </c>
      <c r="AA31" s="48">
        <f t="shared" si="2"/>
        <v>3</v>
      </c>
      <c r="AB31" s="49">
        <f t="shared" si="3"/>
        <v>0</v>
      </c>
      <c r="AC31" s="50" t="str">
        <f t="shared" si="4"/>
        <v>A</v>
      </c>
      <c r="AD31" s="57"/>
    </row>
    <row r="32" spans="1:30" ht="15.75" customHeight="1" x14ac:dyDescent="0.25">
      <c r="A32" s="4"/>
      <c r="B32" s="70" t="s">
        <v>91</v>
      </c>
      <c r="C32" s="71" t="str">
        <f t="shared" si="0"/>
        <v>Estados Unidos</v>
      </c>
      <c r="D32" s="71" t="str">
        <f t="shared" si="1"/>
        <v>Austrália</v>
      </c>
      <c r="E32" s="72" t="s">
        <v>43</v>
      </c>
      <c r="F32" s="7"/>
      <c r="G32" s="73" t="s">
        <v>44</v>
      </c>
      <c r="H32" s="74" t="s">
        <v>44</v>
      </c>
      <c r="I32" s="74" t="s">
        <v>44</v>
      </c>
      <c r="J32" s="74" t="s">
        <v>44</v>
      </c>
      <c r="K32" s="74" t="s">
        <v>46</v>
      </c>
      <c r="L32" s="74" t="s">
        <v>44</v>
      </c>
      <c r="M32" s="74" t="s">
        <v>44</v>
      </c>
      <c r="N32" s="74" t="s">
        <v>44</v>
      </c>
      <c r="O32" s="74" t="s">
        <v>44</v>
      </c>
      <c r="P32" s="74" t="s">
        <v>44</v>
      </c>
      <c r="Q32" s="74" t="s">
        <v>44</v>
      </c>
      <c r="R32" s="74" t="s">
        <v>44</v>
      </c>
      <c r="S32" s="74"/>
      <c r="T32" s="74" t="s">
        <v>46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4" t="s">
        <v>44</v>
      </c>
      <c r="AA32" s="48">
        <f t="shared" si="2"/>
        <v>2</v>
      </c>
      <c r="AB32" s="49">
        <f t="shared" si="3"/>
        <v>0</v>
      </c>
      <c r="AC32" s="50" t="str">
        <f t="shared" si="4"/>
        <v>A</v>
      </c>
      <c r="AD32" s="57"/>
    </row>
    <row r="33" spans="1:30" ht="15.75" customHeight="1" x14ac:dyDescent="0.25">
      <c r="A33" s="4"/>
      <c r="B33" s="76" t="s">
        <v>92</v>
      </c>
      <c r="C33" s="77" t="str">
        <f t="shared" si="0"/>
        <v>Turquia</v>
      </c>
      <c r="D33" s="77" t="str">
        <f t="shared" si="1"/>
        <v>Paraguai</v>
      </c>
      <c r="E33" s="78" t="s">
        <v>56</v>
      </c>
      <c r="F33" s="7"/>
      <c r="G33" s="45" t="s">
        <v>44</v>
      </c>
      <c r="H33" s="46" t="s">
        <v>45</v>
      </c>
      <c r="I33" s="46" t="s">
        <v>44</v>
      </c>
      <c r="J33" s="46" t="s">
        <v>44</v>
      </c>
      <c r="K33" s="46" t="s">
        <v>44</v>
      </c>
      <c r="L33" s="46" t="s">
        <v>46</v>
      </c>
      <c r="M33" s="46" t="s">
        <v>44</v>
      </c>
      <c r="N33" s="46" t="s">
        <v>44</v>
      </c>
      <c r="O33" s="46" t="s">
        <v>46</v>
      </c>
      <c r="P33" s="46" t="s">
        <v>44</v>
      </c>
      <c r="Q33" s="46" t="s">
        <v>46</v>
      </c>
      <c r="R33" s="46" t="s">
        <v>44</v>
      </c>
      <c r="S33" s="46" t="s">
        <v>46</v>
      </c>
      <c r="T33" s="46" t="s">
        <v>44</v>
      </c>
      <c r="U33" s="47" t="s">
        <v>44</v>
      </c>
      <c r="V33" s="47" t="s">
        <v>44</v>
      </c>
      <c r="W33" s="47" t="s">
        <v>45</v>
      </c>
      <c r="X33" s="47" t="s">
        <v>45</v>
      </c>
      <c r="Y33" s="47" t="s">
        <v>44</v>
      </c>
      <c r="Z33" s="46" t="s">
        <v>45</v>
      </c>
      <c r="AA33" s="48">
        <f t="shared" si="2"/>
        <v>0</v>
      </c>
      <c r="AB33" s="49">
        <f t="shared" si="3"/>
        <v>1</v>
      </c>
      <c r="AC33" s="50" t="str">
        <f t="shared" si="4"/>
        <v>B</v>
      </c>
      <c r="AD33" s="57"/>
    </row>
    <row r="34" spans="1:30" ht="15.75" customHeight="1" x14ac:dyDescent="0.25">
      <c r="A34" s="3">
        <v>46193</v>
      </c>
      <c r="B34" s="51" t="s">
        <v>93</v>
      </c>
      <c r="C34" s="52" t="str">
        <f t="shared" ref="C34:C65" si="5">TRIM(LEFT(B34,FIND(" x ",B34)-1))</f>
        <v>Alemanha</v>
      </c>
      <c r="D34" s="52" t="str">
        <f t="shared" ref="D34:D65" si="6">TRIM(MID(B34,FIND(" x ",B34)+3,100))</f>
        <v>Costa do Marfim</v>
      </c>
      <c r="E34" s="53" t="s">
        <v>48</v>
      </c>
      <c r="F34" s="7"/>
      <c r="G34" s="62" t="s">
        <v>44</v>
      </c>
      <c r="H34" s="63" t="s">
        <v>44</v>
      </c>
      <c r="I34" s="63" t="s">
        <v>44</v>
      </c>
      <c r="J34" s="63" t="s">
        <v>44</v>
      </c>
      <c r="K34" s="63" t="s">
        <v>44</v>
      </c>
      <c r="L34" s="63" t="s">
        <v>44</v>
      </c>
      <c r="M34" s="63" t="s">
        <v>44</v>
      </c>
      <c r="N34" s="63" t="s">
        <v>44</v>
      </c>
      <c r="O34" s="63" t="s">
        <v>44</v>
      </c>
      <c r="P34" s="63" t="s">
        <v>44</v>
      </c>
      <c r="Q34" s="63" t="s">
        <v>44</v>
      </c>
      <c r="R34" s="63" t="s">
        <v>44</v>
      </c>
      <c r="S34" s="63" t="s">
        <v>44</v>
      </c>
      <c r="T34" s="63" t="s">
        <v>44</v>
      </c>
      <c r="U34" s="64" t="s">
        <v>44</v>
      </c>
      <c r="V34" s="64" t="s">
        <v>46</v>
      </c>
      <c r="W34" s="64" t="s">
        <v>44</v>
      </c>
      <c r="X34" s="64" t="s">
        <v>44</v>
      </c>
      <c r="Y34" s="64" t="s">
        <v>44</v>
      </c>
      <c r="Z34" s="63" t="s">
        <v>46</v>
      </c>
      <c r="AA34" s="48">
        <f t="shared" ref="AA34:AA65" si="7">IFERROR(VALUE(TRIM(LEFT($E34,SEARCH("x",$E34)-1))),"")</f>
        <v>2</v>
      </c>
      <c r="AB34" s="49">
        <f t="shared" ref="AB34:AB65" si="8">IFERROR(VALUE(TRIM(MID($E34,SEARCH("x",$E34)+1,10))),"")</f>
        <v>1</v>
      </c>
      <c r="AC34" s="50" t="str">
        <f t="shared" ref="AC34:AC65" si="9">IF(OR($AA34="",$AB34=""),"",IF($AA34&gt;$AB34,"A",IF($AA34&lt;$AB34,"B","E")))</f>
        <v>A</v>
      </c>
      <c r="AD34" s="57"/>
    </row>
    <row r="35" spans="1:30" ht="15.75" customHeight="1" x14ac:dyDescent="0.25">
      <c r="A35" s="3"/>
      <c r="B35" s="79" t="s">
        <v>94</v>
      </c>
      <c r="C35" s="80" t="str">
        <f t="shared" si="5"/>
        <v>Equador</v>
      </c>
      <c r="D35" s="80" t="str">
        <f t="shared" si="6"/>
        <v>Curaçao</v>
      </c>
      <c r="E35" s="81" t="s">
        <v>69</v>
      </c>
      <c r="F35" s="7"/>
      <c r="G35" s="68" t="s">
        <v>44</v>
      </c>
      <c r="H35" s="82" t="s">
        <v>44</v>
      </c>
      <c r="I35" s="82" t="s">
        <v>44</v>
      </c>
      <c r="J35" s="82" t="s">
        <v>44</v>
      </c>
      <c r="K35" s="82" t="s">
        <v>44</v>
      </c>
      <c r="L35" s="82" t="s">
        <v>44</v>
      </c>
      <c r="M35" s="82" t="s">
        <v>44</v>
      </c>
      <c r="N35" s="82" t="s">
        <v>44</v>
      </c>
      <c r="O35" s="82" t="s">
        <v>44</v>
      </c>
      <c r="P35" s="82" t="s">
        <v>44</v>
      </c>
      <c r="Q35" s="82" t="s">
        <v>44</v>
      </c>
      <c r="R35" s="82" t="s">
        <v>44</v>
      </c>
      <c r="S35" s="82" t="s">
        <v>44</v>
      </c>
      <c r="T35" s="82" t="s">
        <v>44</v>
      </c>
      <c r="U35" s="83" t="s">
        <v>44</v>
      </c>
      <c r="V35" s="83" t="s">
        <v>44</v>
      </c>
      <c r="W35" s="83" t="s">
        <v>44</v>
      </c>
      <c r="X35" s="83" t="s">
        <v>44</v>
      </c>
      <c r="Y35" s="83" t="s">
        <v>44</v>
      </c>
      <c r="Z35" s="82" t="s">
        <v>46</v>
      </c>
      <c r="AA35" s="48">
        <f t="shared" si="7"/>
        <v>0</v>
      </c>
      <c r="AB35" s="49">
        <f t="shared" si="8"/>
        <v>0</v>
      </c>
      <c r="AC35" s="50" t="str">
        <f t="shared" si="9"/>
        <v>E</v>
      </c>
      <c r="AD35" s="57"/>
    </row>
    <row r="36" spans="1:30" ht="15.75" customHeight="1" x14ac:dyDescent="0.25">
      <c r="A36" s="3"/>
      <c r="B36" s="84" t="s">
        <v>95</v>
      </c>
      <c r="C36" s="85" t="str">
        <f t="shared" si="5"/>
        <v>Países Baixos</v>
      </c>
      <c r="D36" s="85" t="str">
        <f t="shared" si="6"/>
        <v>Suécia</v>
      </c>
      <c r="E36" s="86" t="s">
        <v>65</v>
      </c>
      <c r="F36" s="7"/>
      <c r="G36" s="73" t="s">
        <v>44</v>
      </c>
      <c r="H36" s="74" t="s">
        <v>46</v>
      </c>
      <c r="I36" s="74" t="s">
        <v>45</v>
      </c>
      <c r="J36" s="74" t="s">
        <v>45</v>
      </c>
      <c r="K36" s="74" t="s">
        <v>44</v>
      </c>
      <c r="L36" s="74" t="s">
        <v>44</v>
      </c>
      <c r="M36" s="74" t="s">
        <v>44</v>
      </c>
      <c r="N36" s="74" t="s">
        <v>44</v>
      </c>
      <c r="O36" s="74" t="s">
        <v>44</v>
      </c>
      <c r="P36" s="74" t="s">
        <v>46</v>
      </c>
      <c r="Q36" s="74" t="s">
        <v>44</v>
      </c>
      <c r="R36" s="74" t="s">
        <v>44</v>
      </c>
      <c r="S36" s="74" t="s">
        <v>44</v>
      </c>
      <c r="T36" s="74" t="s">
        <v>44</v>
      </c>
      <c r="U36" s="75" t="s">
        <v>46</v>
      </c>
      <c r="V36" s="75" t="s">
        <v>44</v>
      </c>
      <c r="W36" s="75" t="s">
        <v>44</v>
      </c>
      <c r="X36" s="75" t="s">
        <v>44</v>
      </c>
      <c r="Y36" s="75" t="s">
        <v>44</v>
      </c>
      <c r="Z36" s="74" t="s">
        <v>46</v>
      </c>
      <c r="AA36" s="48">
        <f t="shared" si="7"/>
        <v>5</v>
      </c>
      <c r="AB36" s="49">
        <f t="shared" si="8"/>
        <v>1</v>
      </c>
      <c r="AC36" s="50" t="str">
        <f t="shared" si="9"/>
        <v>A</v>
      </c>
      <c r="AD36" s="57"/>
    </row>
    <row r="37" spans="1:30" ht="15.75" customHeight="1" x14ac:dyDescent="0.25">
      <c r="A37" s="3"/>
      <c r="B37" s="87" t="s">
        <v>96</v>
      </c>
      <c r="C37" s="88" t="str">
        <f t="shared" si="5"/>
        <v>Tunísia</v>
      </c>
      <c r="D37" s="88" t="str">
        <f t="shared" si="6"/>
        <v>Japão</v>
      </c>
      <c r="E37" s="89" t="s">
        <v>97</v>
      </c>
      <c r="F37" s="7"/>
      <c r="G37" s="45" t="s">
        <v>45</v>
      </c>
      <c r="H37" s="46" t="s">
        <v>45</v>
      </c>
      <c r="I37" s="46" t="s">
        <v>45</v>
      </c>
      <c r="J37" s="46" t="s">
        <v>45</v>
      </c>
      <c r="K37" s="46" t="s">
        <v>45</v>
      </c>
      <c r="L37" s="46" t="s">
        <v>45</v>
      </c>
      <c r="M37" s="46" t="s">
        <v>45</v>
      </c>
      <c r="N37" s="46" t="s">
        <v>45</v>
      </c>
      <c r="O37" s="46" t="s">
        <v>45</v>
      </c>
      <c r="P37" s="46" t="s">
        <v>45</v>
      </c>
      <c r="Q37" s="46" t="s">
        <v>46</v>
      </c>
      <c r="R37" s="46" t="s">
        <v>45</v>
      </c>
      <c r="S37" s="46" t="s">
        <v>45</v>
      </c>
      <c r="T37" s="46" t="s">
        <v>45</v>
      </c>
      <c r="U37" s="47" t="s">
        <v>45</v>
      </c>
      <c r="V37" s="47" t="s">
        <v>45</v>
      </c>
      <c r="W37" s="47" t="s">
        <v>45</v>
      </c>
      <c r="X37" s="47" t="s">
        <v>45</v>
      </c>
      <c r="Y37" s="47" t="s">
        <v>45</v>
      </c>
      <c r="Z37" s="46" t="s">
        <v>45</v>
      </c>
      <c r="AA37" s="48">
        <f t="shared" si="7"/>
        <v>0</v>
      </c>
      <c r="AB37" s="49">
        <f t="shared" si="8"/>
        <v>4</v>
      </c>
      <c r="AC37" s="50" t="str">
        <f t="shared" si="9"/>
        <v>B</v>
      </c>
      <c r="AD37" s="57"/>
    </row>
    <row r="38" spans="1:30" ht="15.75" customHeight="1" x14ac:dyDescent="0.25">
      <c r="A38" s="4">
        <v>46194</v>
      </c>
      <c r="B38" s="60" t="s">
        <v>98</v>
      </c>
      <c r="C38" s="61" t="str">
        <f t="shared" si="5"/>
        <v>Bélgica</v>
      </c>
      <c r="D38" s="61" t="str">
        <f t="shared" si="6"/>
        <v>Irã</v>
      </c>
      <c r="E38" s="35" t="s">
        <v>69</v>
      </c>
      <c r="F38" s="7"/>
      <c r="G38" s="62" t="s">
        <v>44</v>
      </c>
      <c r="H38" s="63" t="s">
        <v>44</v>
      </c>
      <c r="I38" s="63" t="s">
        <v>44</v>
      </c>
      <c r="J38" s="63" t="s">
        <v>44</v>
      </c>
      <c r="K38" s="63" t="s">
        <v>44</v>
      </c>
      <c r="L38" s="63" t="s">
        <v>44</v>
      </c>
      <c r="M38" s="63" t="s">
        <v>44</v>
      </c>
      <c r="N38" s="63" t="s">
        <v>44</v>
      </c>
      <c r="O38" s="63" t="s">
        <v>44</v>
      </c>
      <c r="P38" s="63" t="s">
        <v>44</v>
      </c>
      <c r="Q38" s="63" t="s">
        <v>44</v>
      </c>
      <c r="R38" s="63"/>
      <c r="S38" s="63" t="s">
        <v>46</v>
      </c>
      <c r="T38" s="63" t="s">
        <v>44</v>
      </c>
      <c r="U38" s="64" t="s">
        <v>44</v>
      </c>
      <c r="V38" s="64" t="s">
        <v>46</v>
      </c>
      <c r="W38" s="64" t="s">
        <v>46</v>
      </c>
      <c r="X38" s="64" t="s">
        <v>44</v>
      </c>
      <c r="Y38" s="64" t="s">
        <v>44</v>
      </c>
      <c r="Z38" s="63" t="s">
        <v>46</v>
      </c>
      <c r="AA38" s="48">
        <f t="shared" si="7"/>
        <v>0</v>
      </c>
      <c r="AB38" s="49">
        <f t="shared" si="8"/>
        <v>0</v>
      </c>
      <c r="AC38" s="50" t="str">
        <f t="shared" si="9"/>
        <v>E</v>
      </c>
      <c r="AD38" s="57"/>
    </row>
    <row r="39" spans="1:30" ht="15.75" customHeight="1" x14ac:dyDescent="0.25">
      <c r="A39" s="4"/>
      <c r="B39" s="65" t="s">
        <v>99</v>
      </c>
      <c r="C39" s="66" t="str">
        <f t="shared" si="5"/>
        <v>Nova Zelândia</v>
      </c>
      <c r="D39" s="66" t="str">
        <f t="shared" si="6"/>
        <v>Egito</v>
      </c>
      <c r="E39" s="67" t="s">
        <v>80</v>
      </c>
      <c r="F39" s="7"/>
      <c r="G39" s="68" t="s">
        <v>46</v>
      </c>
      <c r="H39" s="82" t="s">
        <v>44</v>
      </c>
      <c r="I39" s="82" t="s">
        <v>45</v>
      </c>
      <c r="J39" s="82" t="s">
        <v>46</v>
      </c>
      <c r="K39" s="82" t="s">
        <v>46</v>
      </c>
      <c r="L39" s="82" t="s">
        <v>46</v>
      </c>
      <c r="M39" s="82" t="s">
        <v>45</v>
      </c>
      <c r="N39" s="82" t="s">
        <v>45</v>
      </c>
      <c r="O39" s="82" t="s">
        <v>45</v>
      </c>
      <c r="P39" s="82" t="s">
        <v>45</v>
      </c>
      <c r="Q39" s="82" t="s">
        <v>44</v>
      </c>
      <c r="R39" s="82" t="s">
        <v>44</v>
      </c>
      <c r="S39" s="82" t="s">
        <v>46</v>
      </c>
      <c r="T39" s="82" t="s">
        <v>45</v>
      </c>
      <c r="U39" s="83" t="s">
        <v>45</v>
      </c>
      <c r="V39" s="83" t="s">
        <v>45</v>
      </c>
      <c r="W39" s="83" t="s">
        <v>46</v>
      </c>
      <c r="X39" s="83" t="s">
        <v>45</v>
      </c>
      <c r="Y39" s="83" t="s">
        <v>44</v>
      </c>
      <c r="Z39" s="82" t="s">
        <v>45</v>
      </c>
      <c r="AA39" s="48">
        <f t="shared" si="7"/>
        <v>1</v>
      </c>
      <c r="AB39" s="49">
        <f t="shared" si="8"/>
        <v>3</v>
      </c>
      <c r="AC39" s="50" t="str">
        <f t="shared" si="9"/>
        <v>B</v>
      </c>
      <c r="AD39" s="57"/>
    </row>
    <row r="40" spans="1:30" ht="15.75" customHeight="1" x14ac:dyDescent="0.25">
      <c r="A40" s="4"/>
      <c r="B40" s="70" t="s">
        <v>100</v>
      </c>
      <c r="C40" s="71" t="str">
        <f t="shared" si="5"/>
        <v>Espanha</v>
      </c>
      <c r="D40" s="71" t="str">
        <f t="shared" si="6"/>
        <v>Arábia Saudita</v>
      </c>
      <c r="E40" s="72" t="s">
        <v>101</v>
      </c>
      <c r="F40" s="7"/>
      <c r="G40" s="73" t="s">
        <v>44</v>
      </c>
      <c r="H40" s="74" t="s">
        <v>44</v>
      </c>
      <c r="I40" s="74" t="s">
        <v>44</v>
      </c>
      <c r="J40" s="74" t="s">
        <v>44</v>
      </c>
      <c r="K40" s="74" t="s">
        <v>44</v>
      </c>
      <c r="L40" s="74" t="s">
        <v>44</v>
      </c>
      <c r="M40" s="74" t="s">
        <v>44</v>
      </c>
      <c r="N40" s="74" t="s">
        <v>44</v>
      </c>
      <c r="O40" s="74" t="s">
        <v>44</v>
      </c>
      <c r="P40" s="74" t="s">
        <v>44</v>
      </c>
      <c r="Q40" s="74" t="s">
        <v>44</v>
      </c>
      <c r="R40" s="74"/>
      <c r="S40" s="74" t="s">
        <v>44</v>
      </c>
      <c r="T40" s="74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4" t="s">
        <v>44</v>
      </c>
      <c r="AA40" s="48">
        <f t="shared" si="7"/>
        <v>4</v>
      </c>
      <c r="AB40" s="49">
        <f t="shared" si="8"/>
        <v>0</v>
      </c>
      <c r="AC40" s="50" t="str">
        <f t="shared" si="9"/>
        <v>A</v>
      </c>
      <c r="AD40" s="57"/>
    </row>
    <row r="41" spans="1:30" ht="15.75" customHeight="1" x14ac:dyDescent="0.25">
      <c r="A41" s="4"/>
      <c r="B41" s="76" t="s">
        <v>102</v>
      </c>
      <c r="C41" s="77" t="str">
        <f t="shared" si="5"/>
        <v>Uruguai</v>
      </c>
      <c r="D41" s="77" t="str">
        <f t="shared" si="6"/>
        <v>Cabo Verde</v>
      </c>
      <c r="E41" s="78" t="s">
        <v>63</v>
      </c>
      <c r="F41" s="7"/>
      <c r="G41" s="45" t="s">
        <v>44</v>
      </c>
      <c r="H41" s="46" t="s">
        <v>44</v>
      </c>
      <c r="I41" s="46" t="s">
        <v>44</v>
      </c>
      <c r="J41" s="46" t="s">
        <v>44</v>
      </c>
      <c r="K41" s="46" t="s">
        <v>44</v>
      </c>
      <c r="L41" s="46" t="s">
        <v>44</v>
      </c>
      <c r="M41" s="46" t="s">
        <v>44</v>
      </c>
      <c r="N41" s="46" t="s">
        <v>44</v>
      </c>
      <c r="O41" s="46" t="s">
        <v>44</v>
      </c>
      <c r="P41" s="46" t="s">
        <v>44</v>
      </c>
      <c r="Q41" s="46" t="s">
        <v>46</v>
      </c>
      <c r="R41" s="46"/>
      <c r="S41" s="46" t="s">
        <v>44</v>
      </c>
      <c r="T41" s="46" t="s">
        <v>44</v>
      </c>
      <c r="U41" s="47" t="s">
        <v>44</v>
      </c>
      <c r="V41" s="47" t="s">
        <v>44</v>
      </c>
      <c r="W41" s="47" t="s">
        <v>44</v>
      </c>
      <c r="X41" s="47" t="s">
        <v>44</v>
      </c>
      <c r="Y41" s="47" t="s">
        <v>44</v>
      </c>
      <c r="Z41" s="46" t="s">
        <v>46</v>
      </c>
      <c r="AA41" s="48">
        <f t="shared" si="7"/>
        <v>2</v>
      </c>
      <c r="AB41" s="49">
        <f t="shared" si="8"/>
        <v>2</v>
      </c>
      <c r="AC41" s="50" t="str">
        <f t="shared" si="9"/>
        <v>E</v>
      </c>
      <c r="AD41" s="57"/>
    </row>
    <row r="42" spans="1:30" ht="15.75" customHeight="1" x14ac:dyDescent="0.25">
      <c r="A42" s="3">
        <v>46195</v>
      </c>
      <c r="B42" s="51" t="s">
        <v>103</v>
      </c>
      <c r="C42" s="52" t="str">
        <f t="shared" si="5"/>
        <v>França</v>
      </c>
      <c r="D42" s="52" t="str">
        <f t="shared" si="6"/>
        <v>Iraque</v>
      </c>
      <c r="E42" s="53" t="s">
        <v>61</v>
      </c>
      <c r="F42" s="7"/>
      <c r="G42" s="62" t="s">
        <v>44</v>
      </c>
      <c r="H42" s="63" t="s">
        <v>44</v>
      </c>
      <c r="I42" s="63" t="s">
        <v>44</v>
      </c>
      <c r="J42" s="63" t="s">
        <v>44</v>
      </c>
      <c r="K42" s="63" t="s">
        <v>44</v>
      </c>
      <c r="L42" s="63" t="s">
        <v>44</v>
      </c>
      <c r="M42" s="63" t="s">
        <v>44</v>
      </c>
      <c r="N42" s="63" t="s">
        <v>44</v>
      </c>
      <c r="O42" s="63" t="s">
        <v>44</v>
      </c>
      <c r="P42" s="63" t="s">
        <v>44</v>
      </c>
      <c r="Q42" s="63" t="s">
        <v>44</v>
      </c>
      <c r="R42" s="63" t="s">
        <v>44</v>
      </c>
      <c r="S42" s="63" t="s">
        <v>44</v>
      </c>
      <c r="T42" s="63" t="s">
        <v>44</v>
      </c>
      <c r="U42" s="64" t="s">
        <v>44</v>
      </c>
      <c r="V42" s="64" t="s">
        <v>44</v>
      </c>
      <c r="W42" s="64" t="s">
        <v>44</v>
      </c>
      <c r="X42" s="64" t="s">
        <v>44</v>
      </c>
      <c r="Y42" s="64" t="s">
        <v>44</v>
      </c>
      <c r="Z42" s="63" t="s">
        <v>44</v>
      </c>
      <c r="AA42" s="48">
        <f t="shared" si="7"/>
        <v>1</v>
      </c>
      <c r="AB42" s="49">
        <f t="shared" si="8"/>
        <v>0</v>
      </c>
      <c r="AC42" s="50" t="str">
        <f t="shared" si="9"/>
        <v>A</v>
      </c>
      <c r="AD42" s="57"/>
    </row>
    <row r="43" spans="1:30" ht="15.75" customHeight="1" x14ac:dyDescent="0.25">
      <c r="A43" s="3"/>
      <c r="B43" s="79" t="s">
        <v>104</v>
      </c>
      <c r="C43" s="80" t="str">
        <f t="shared" si="5"/>
        <v>Noruega</v>
      </c>
      <c r="D43" s="80" t="str">
        <f t="shared" si="6"/>
        <v>Senegal</v>
      </c>
      <c r="E43" s="81" t="s">
        <v>105</v>
      </c>
      <c r="F43" s="7"/>
      <c r="G43" s="68" t="s">
        <v>44</v>
      </c>
      <c r="H43" s="82" t="s">
        <v>46</v>
      </c>
      <c r="I43" s="82" t="s">
        <v>46</v>
      </c>
      <c r="J43" s="82" t="s">
        <v>44</v>
      </c>
      <c r="K43" s="82" t="s">
        <v>44</v>
      </c>
      <c r="L43" s="82" t="s">
        <v>44</v>
      </c>
      <c r="M43" s="82" t="s">
        <v>44</v>
      </c>
      <c r="N43" s="82" t="s">
        <v>44</v>
      </c>
      <c r="O43" s="82" t="s">
        <v>46</v>
      </c>
      <c r="P43" s="82" t="s">
        <v>44</v>
      </c>
      <c r="Q43" s="82" t="s">
        <v>44</v>
      </c>
      <c r="R43" s="82" t="s">
        <v>44</v>
      </c>
      <c r="S43" s="82" t="s">
        <v>44</v>
      </c>
      <c r="T43" s="82" t="s">
        <v>45</v>
      </c>
      <c r="U43" s="83" t="s">
        <v>46</v>
      </c>
      <c r="V43" s="83" t="s">
        <v>44</v>
      </c>
      <c r="W43" s="83" t="s">
        <v>44</v>
      </c>
      <c r="X43" s="83" t="s">
        <v>46</v>
      </c>
      <c r="Y43" s="83" t="s">
        <v>44</v>
      </c>
      <c r="Z43" s="82" t="s">
        <v>45</v>
      </c>
      <c r="AA43" s="48">
        <f t="shared" si="7"/>
        <v>3</v>
      </c>
      <c r="AB43" s="49">
        <f t="shared" si="8"/>
        <v>2</v>
      </c>
      <c r="AC43" s="50" t="str">
        <f t="shared" si="9"/>
        <v>A</v>
      </c>
      <c r="AD43" s="57"/>
    </row>
    <row r="44" spans="1:30" ht="15.75" customHeight="1" x14ac:dyDescent="0.25">
      <c r="A44" s="3"/>
      <c r="B44" s="84" t="s">
        <v>106</v>
      </c>
      <c r="C44" s="85" t="str">
        <f t="shared" si="5"/>
        <v>Argentina</v>
      </c>
      <c r="D44" s="85" t="str">
        <f t="shared" si="6"/>
        <v>Áustria</v>
      </c>
      <c r="E44" s="86" t="s">
        <v>43</v>
      </c>
      <c r="F44" s="7"/>
      <c r="G44" s="73" t="s">
        <v>44</v>
      </c>
      <c r="H44" s="74" t="s">
        <v>44</v>
      </c>
      <c r="I44" s="74" t="s">
        <v>44</v>
      </c>
      <c r="J44" s="74" t="s">
        <v>44</v>
      </c>
      <c r="K44" s="74" t="s">
        <v>44</v>
      </c>
      <c r="L44" s="74" t="s">
        <v>44</v>
      </c>
      <c r="M44" s="74" t="s">
        <v>44</v>
      </c>
      <c r="N44" s="74" t="s">
        <v>44</v>
      </c>
      <c r="O44" s="74" t="s">
        <v>44</v>
      </c>
      <c r="P44" s="74" t="s">
        <v>44</v>
      </c>
      <c r="Q44" s="74" t="s">
        <v>46</v>
      </c>
      <c r="R44" s="74" t="s">
        <v>44</v>
      </c>
      <c r="S44" s="74" t="s">
        <v>46</v>
      </c>
      <c r="T44" s="74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4" t="s">
        <v>45</v>
      </c>
      <c r="AA44" s="48">
        <f t="shared" si="7"/>
        <v>2</v>
      </c>
      <c r="AB44" s="49">
        <f t="shared" si="8"/>
        <v>0</v>
      </c>
      <c r="AC44" s="50" t="str">
        <f t="shared" si="9"/>
        <v>A</v>
      </c>
      <c r="AD44" s="57"/>
    </row>
    <row r="45" spans="1:30" ht="15.75" customHeight="1" x14ac:dyDescent="0.25">
      <c r="A45" s="3"/>
      <c r="B45" s="87" t="s">
        <v>107</v>
      </c>
      <c r="C45" s="88" t="str">
        <f t="shared" si="5"/>
        <v>Jordânia</v>
      </c>
      <c r="D45" s="88" t="str">
        <f t="shared" si="6"/>
        <v>Argélia</v>
      </c>
      <c r="E45" s="89" t="s">
        <v>108</v>
      </c>
      <c r="F45" s="7"/>
      <c r="G45" s="45" t="s">
        <v>45</v>
      </c>
      <c r="H45" s="46" t="s">
        <v>45</v>
      </c>
      <c r="I45" s="46" t="s">
        <v>45</v>
      </c>
      <c r="J45" s="46" t="s">
        <v>45</v>
      </c>
      <c r="K45" s="46" t="s">
        <v>45</v>
      </c>
      <c r="L45" s="46" t="s">
        <v>46</v>
      </c>
      <c r="M45" s="46" t="s">
        <v>45</v>
      </c>
      <c r="N45" s="46" t="s">
        <v>45</v>
      </c>
      <c r="O45" s="46" t="s">
        <v>45</v>
      </c>
      <c r="P45" s="46" t="s">
        <v>45</v>
      </c>
      <c r="Q45" s="46" t="s">
        <v>45</v>
      </c>
      <c r="R45" s="46" t="s">
        <v>45</v>
      </c>
      <c r="S45" s="46" t="s">
        <v>44</v>
      </c>
      <c r="T45" s="46" t="s">
        <v>45</v>
      </c>
      <c r="U45" s="47" t="s">
        <v>46</v>
      </c>
      <c r="V45" s="47" t="s">
        <v>46</v>
      </c>
      <c r="W45" s="47" t="s">
        <v>45</v>
      </c>
      <c r="X45" s="47" t="s">
        <v>45</v>
      </c>
      <c r="Y45" s="47" t="s">
        <v>46</v>
      </c>
      <c r="Z45" s="46" t="s">
        <v>46</v>
      </c>
      <c r="AA45" s="48">
        <f t="shared" si="7"/>
        <v>1</v>
      </c>
      <c r="AB45" s="49">
        <f t="shared" si="8"/>
        <v>2</v>
      </c>
      <c r="AC45" s="50" t="str">
        <f t="shared" si="9"/>
        <v>B</v>
      </c>
      <c r="AD45" s="57"/>
    </row>
    <row r="46" spans="1:30" ht="15.75" customHeight="1" x14ac:dyDescent="0.25">
      <c r="A46" s="4">
        <v>46196</v>
      </c>
      <c r="B46" s="60" t="s">
        <v>109</v>
      </c>
      <c r="C46" s="61" t="str">
        <f t="shared" si="5"/>
        <v>Portugal</v>
      </c>
      <c r="D46" s="61" t="str">
        <f t="shared" si="6"/>
        <v>Uzbequistão</v>
      </c>
      <c r="E46" s="35" t="s">
        <v>110</v>
      </c>
      <c r="F46" s="7"/>
      <c r="G46" s="62" t="s">
        <v>44</v>
      </c>
      <c r="H46" s="90" t="s">
        <v>44</v>
      </c>
      <c r="I46" s="90" t="s">
        <v>44</v>
      </c>
      <c r="J46" s="90" t="s">
        <v>44</v>
      </c>
      <c r="K46" s="90" t="s">
        <v>44</v>
      </c>
      <c r="L46" s="90" t="s">
        <v>44</v>
      </c>
      <c r="M46" s="90" t="s">
        <v>44</v>
      </c>
      <c r="N46" s="90" t="s">
        <v>44</v>
      </c>
      <c r="O46" s="90" t="s">
        <v>44</v>
      </c>
      <c r="P46" s="90" t="s">
        <v>44</v>
      </c>
      <c r="Q46" s="90" t="s">
        <v>44</v>
      </c>
      <c r="R46" s="90" t="s">
        <v>44</v>
      </c>
      <c r="S46" s="90" t="s">
        <v>44</v>
      </c>
      <c r="T46" s="90" t="s">
        <v>44</v>
      </c>
      <c r="U46" s="90" t="s">
        <v>44</v>
      </c>
      <c r="V46" s="90" t="s">
        <v>44</v>
      </c>
      <c r="W46" s="90" t="s">
        <v>44</v>
      </c>
      <c r="X46" s="90" t="s">
        <v>44</v>
      </c>
      <c r="Y46" s="90" t="s">
        <v>44</v>
      </c>
      <c r="Z46" s="110" t="s">
        <v>44</v>
      </c>
      <c r="AA46" s="48">
        <f t="shared" si="7"/>
        <v>5</v>
      </c>
      <c r="AB46" s="49">
        <f t="shared" si="8"/>
        <v>0</v>
      </c>
      <c r="AC46" s="50" t="str">
        <f t="shared" si="9"/>
        <v>A</v>
      </c>
      <c r="AD46" s="57"/>
    </row>
    <row r="47" spans="1:30" ht="15.75" customHeight="1" x14ac:dyDescent="0.25">
      <c r="A47" s="4"/>
      <c r="B47" s="65" t="s">
        <v>111</v>
      </c>
      <c r="C47" s="66" t="str">
        <f t="shared" si="5"/>
        <v>Colômbia</v>
      </c>
      <c r="D47" s="66" t="str">
        <f t="shared" si="6"/>
        <v>Rep. Dem. Congo</v>
      </c>
      <c r="E47" s="67" t="s">
        <v>112</v>
      </c>
      <c r="F47" s="7"/>
      <c r="G47" s="68" t="s">
        <v>44</v>
      </c>
      <c r="H47" s="82" t="s">
        <v>44</v>
      </c>
      <c r="I47" s="82" t="s">
        <v>44</v>
      </c>
      <c r="J47" s="82" t="s">
        <v>44</v>
      </c>
      <c r="K47" s="82" t="s">
        <v>44</v>
      </c>
      <c r="L47" s="82" t="s">
        <v>44</v>
      </c>
      <c r="M47" s="82" t="s">
        <v>44</v>
      </c>
      <c r="N47" s="82" t="s">
        <v>44</v>
      </c>
      <c r="O47" s="82" t="s">
        <v>44</v>
      </c>
      <c r="P47" s="82" t="s">
        <v>44</v>
      </c>
      <c r="Q47" s="82" t="s">
        <v>45</v>
      </c>
      <c r="R47" s="82" t="s">
        <v>46</v>
      </c>
      <c r="S47" s="82" t="s">
        <v>44</v>
      </c>
      <c r="T47" s="82" t="s">
        <v>46</v>
      </c>
      <c r="U47" s="83" t="s">
        <v>44</v>
      </c>
      <c r="V47" s="83" t="s">
        <v>44</v>
      </c>
      <c r="W47" s="83" t="s">
        <v>44</v>
      </c>
      <c r="X47" s="83" t="s">
        <v>44</v>
      </c>
      <c r="Y47" s="83" t="s">
        <v>46</v>
      </c>
      <c r="Z47" s="82" t="s">
        <v>44</v>
      </c>
      <c r="AA47" s="48">
        <f t="shared" si="7"/>
        <v>1</v>
      </c>
      <c r="AB47" s="49">
        <f t="shared" si="8"/>
        <v>0</v>
      </c>
      <c r="AC47" s="50" t="str">
        <f t="shared" si="9"/>
        <v>A</v>
      </c>
      <c r="AD47" s="57"/>
    </row>
    <row r="48" spans="1:30" ht="15.75" customHeight="1" x14ac:dyDescent="0.25">
      <c r="A48" s="4"/>
      <c r="B48" s="70" t="s">
        <v>113</v>
      </c>
      <c r="C48" s="71" t="str">
        <f t="shared" si="5"/>
        <v>Inglaterra</v>
      </c>
      <c r="D48" s="71" t="str">
        <f t="shared" si="6"/>
        <v>Gana</v>
      </c>
      <c r="E48" s="72" t="s">
        <v>69</v>
      </c>
      <c r="F48" s="7"/>
      <c r="G48" s="73" t="s">
        <v>44</v>
      </c>
      <c r="H48" s="91" t="s">
        <v>44</v>
      </c>
      <c r="I48" s="91" t="s">
        <v>44</v>
      </c>
      <c r="J48" s="91" t="s">
        <v>44</v>
      </c>
      <c r="K48" s="91" t="s">
        <v>44</v>
      </c>
      <c r="L48" s="91" t="s">
        <v>44</v>
      </c>
      <c r="M48" s="91" t="s">
        <v>44</v>
      </c>
      <c r="N48" s="91" t="s">
        <v>44</v>
      </c>
      <c r="O48" s="91" t="s">
        <v>44</v>
      </c>
      <c r="P48" s="91" t="s">
        <v>44</v>
      </c>
      <c r="Q48" s="91" t="s">
        <v>46</v>
      </c>
      <c r="R48" s="91" t="s">
        <v>44</v>
      </c>
      <c r="S48" s="91" t="s">
        <v>44</v>
      </c>
      <c r="T48" s="91" t="s">
        <v>44</v>
      </c>
      <c r="U48" s="91" t="s">
        <v>44</v>
      </c>
      <c r="V48" s="91" t="s">
        <v>44</v>
      </c>
      <c r="W48" s="91" t="s">
        <v>44</v>
      </c>
      <c r="X48" s="91" t="s">
        <v>44</v>
      </c>
      <c r="Y48" s="91" t="s">
        <v>44</v>
      </c>
      <c r="Z48" s="92" t="s">
        <v>44</v>
      </c>
      <c r="AA48" s="48">
        <f t="shared" si="7"/>
        <v>0</v>
      </c>
      <c r="AB48" s="49">
        <f t="shared" si="8"/>
        <v>0</v>
      </c>
      <c r="AC48" s="50" t="str">
        <f t="shared" si="9"/>
        <v>E</v>
      </c>
      <c r="AD48" s="57"/>
    </row>
    <row r="49" spans="1:30" ht="15.75" customHeight="1" x14ac:dyDescent="0.25">
      <c r="A49" s="4"/>
      <c r="B49" s="76" t="s">
        <v>114</v>
      </c>
      <c r="C49" s="77" t="str">
        <f t="shared" si="5"/>
        <v>Panamá</v>
      </c>
      <c r="D49" s="77" t="str">
        <f t="shared" si="6"/>
        <v>Croácia</v>
      </c>
      <c r="E49" s="78" t="s">
        <v>115</v>
      </c>
      <c r="F49" s="7"/>
      <c r="G49" s="45" t="s">
        <v>45</v>
      </c>
      <c r="H49" s="93" t="s">
        <v>45</v>
      </c>
      <c r="I49" s="93" t="s">
        <v>45</v>
      </c>
      <c r="J49" s="93" t="s">
        <v>45</v>
      </c>
      <c r="K49" s="93" t="s">
        <v>45</v>
      </c>
      <c r="L49" s="93" t="s">
        <v>45</v>
      </c>
      <c r="M49" s="93" t="s">
        <v>45</v>
      </c>
      <c r="N49" s="93" t="s">
        <v>45</v>
      </c>
      <c r="O49" s="93" t="s">
        <v>45</v>
      </c>
      <c r="P49" s="93" t="s">
        <v>45</v>
      </c>
      <c r="Q49" s="93" t="s">
        <v>45</v>
      </c>
      <c r="R49" s="93" t="s">
        <v>45</v>
      </c>
      <c r="S49" s="93" t="s">
        <v>45</v>
      </c>
      <c r="T49" s="93" t="s">
        <v>45</v>
      </c>
      <c r="U49" s="93" t="s">
        <v>45</v>
      </c>
      <c r="V49" s="93" t="s">
        <v>45</v>
      </c>
      <c r="W49" s="93" t="s">
        <v>45</v>
      </c>
      <c r="X49" s="93" t="s">
        <v>45</v>
      </c>
      <c r="Y49" s="93" t="s">
        <v>45</v>
      </c>
      <c r="Z49" s="111" t="s">
        <v>45</v>
      </c>
      <c r="AA49" s="48">
        <f t="shared" si="7"/>
        <v>0</v>
      </c>
      <c r="AB49" s="49">
        <f t="shared" si="8"/>
        <v>1</v>
      </c>
      <c r="AC49" s="50" t="str">
        <f t="shared" si="9"/>
        <v>B</v>
      </c>
      <c r="AD49" s="57"/>
    </row>
    <row r="50" spans="1:30" ht="15.75" customHeight="1" x14ac:dyDescent="0.25">
      <c r="A50" s="3">
        <v>46197</v>
      </c>
      <c r="B50" s="51" t="s">
        <v>116</v>
      </c>
      <c r="C50" s="52" t="str">
        <f t="shared" si="5"/>
        <v>África do Sul</v>
      </c>
      <c r="D50" s="52" t="str">
        <f t="shared" si="6"/>
        <v>Coreia do Sul</v>
      </c>
      <c r="E50" s="53" t="s">
        <v>61</v>
      </c>
      <c r="F50" s="7"/>
      <c r="G50" s="63" t="s">
        <v>45</v>
      </c>
      <c r="H50" s="63" t="s">
        <v>45</v>
      </c>
      <c r="I50" s="63" t="s">
        <v>45</v>
      </c>
      <c r="J50" s="63" t="s">
        <v>45</v>
      </c>
      <c r="K50" s="63" t="s">
        <v>45</v>
      </c>
      <c r="L50" s="63" t="s">
        <v>45</v>
      </c>
      <c r="M50" s="63" t="s">
        <v>45</v>
      </c>
      <c r="N50" s="63" t="s">
        <v>45</v>
      </c>
      <c r="O50" s="63" t="s">
        <v>45</v>
      </c>
      <c r="P50" s="63" t="s">
        <v>45</v>
      </c>
      <c r="Q50" s="112" t="s">
        <v>45</v>
      </c>
      <c r="R50" s="63" t="s">
        <v>46</v>
      </c>
      <c r="S50" s="63" t="s">
        <v>45</v>
      </c>
      <c r="T50" s="63" t="s">
        <v>45</v>
      </c>
      <c r="U50" s="63" t="s">
        <v>45</v>
      </c>
      <c r="V50" s="63" t="s">
        <v>45</v>
      </c>
      <c r="W50" s="63" t="s">
        <v>45</v>
      </c>
      <c r="X50" s="63" t="s">
        <v>45</v>
      </c>
      <c r="Y50" s="63" t="s">
        <v>45</v>
      </c>
      <c r="Z50" s="63" t="s">
        <v>46</v>
      </c>
      <c r="AA50" s="48">
        <f t="shared" si="7"/>
        <v>1</v>
      </c>
      <c r="AB50" s="49">
        <f t="shared" si="8"/>
        <v>0</v>
      </c>
      <c r="AC50" s="50" t="str">
        <f t="shared" si="9"/>
        <v>A</v>
      </c>
      <c r="AD50" s="57"/>
    </row>
    <row r="51" spans="1:30" ht="15.75" customHeight="1" x14ac:dyDescent="0.25">
      <c r="A51" s="3"/>
      <c r="B51" s="79" t="s">
        <v>117</v>
      </c>
      <c r="C51" s="80" t="str">
        <f t="shared" si="5"/>
        <v>Tchéquia</v>
      </c>
      <c r="D51" s="80" t="str">
        <f t="shared" si="6"/>
        <v>México</v>
      </c>
      <c r="E51" s="81" t="s">
        <v>118</v>
      </c>
      <c r="F51" s="7"/>
      <c r="G51" s="103" t="s">
        <v>45</v>
      </c>
      <c r="H51" s="82" t="s">
        <v>45</v>
      </c>
      <c r="I51" s="82" t="s">
        <v>45</v>
      </c>
      <c r="J51" s="82" t="s">
        <v>45</v>
      </c>
      <c r="K51" s="82" t="s">
        <v>45</v>
      </c>
      <c r="L51" s="82" t="s">
        <v>45</v>
      </c>
      <c r="M51" s="82" t="s">
        <v>45</v>
      </c>
      <c r="N51" s="82" t="s">
        <v>45</v>
      </c>
      <c r="O51" s="82" t="s">
        <v>45</v>
      </c>
      <c r="P51" s="82" t="s">
        <v>45</v>
      </c>
      <c r="Q51" s="113" t="s">
        <v>45</v>
      </c>
      <c r="R51" s="82" t="s">
        <v>45</v>
      </c>
      <c r="S51" s="82" t="s">
        <v>45</v>
      </c>
      <c r="T51" s="82" t="s">
        <v>46</v>
      </c>
      <c r="U51" s="82" t="s">
        <v>45</v>
      </c>
      <c r="V51" s="82" t="s">
        <v>45</v>
      </c>
      <c r="W51" s="82" t="s">
        <v>45</v>
      </c>
      <c r="X51" s="82" t="s">
        <v>45</v>
      </c>
      <c r="Y51" s="82" t="s">
        <v>45</v>
      </c>
      <c r="Z51" s="82" t="s">
        <v>45</v>
      </c>
      <c r="AA51" s="48">
        <f t="shared" si="7"/>
        <v>0</v>
      </c>
      <c r="AB51" s="49">
        <f t="shared" si="8"/>
        <v>3</v>
      </c>
      <c r="AC51" s="50" t="str">
        <f t="shared" si="9"/>
        <v>B</v>
      </c>
      <c r="AD51" s="57"/>
    </row>
    <row r="52" spans="1:30" ht="15.75" customHeight="1" x14ac:dyDescent="0.25">
      <c r="A52" s="3"/>
      <c r="B52" s="84" t="s">
        <v>119</v>
      </c>
      <c r="C52" s="85" t="str">
        <f t="shared" si="5"/>
        <v>Suíça</v>
      </c>
      <c r="D52" s="85" t="str">
        <f t="shared" si="6"/>
        <v>Canadá</v>
      </c>
      <c r="E52" s="86" t="s">
        <v>48</v>
      </c>
      <c r="F52" s="7"/>
      <c r="G52" s="103" t="s">
        <v>45</v>
      </c>
      <c r="H52" s="82" t="s">
        <v>44</v>
      </c>
      <c r="I52" s="82" t="s">
        <v>45</v>
      </c>
      <c r="J52" s="82" t="s">
        <v>46</v>
      </c>
      <c r="K52" s="82" t="s">
        <v>45</v>
      </c>
      <c r="L52" s="82" t="s">
        <v>44</v>
      </c>
      <c r="M52" s="82" t="s">
        <v>45</v>
      </c>
      <c r="N52" s="82" t="s">
        <v>46</v>
      </c>
      <c r="O52" s="82" t="s">
        <v>45</v>
      </c>
      <c r="P52" s="82" t="s">
        <v>46</v>
      </c>
      <c r="Q52" s="113" t="s">
        <v>46</v>
      </c>
      <c r="R52" s="82" t="s">
        <v>46</v>
      </c>
      <c r="S52" s="82" t="s">
        <v>45</v>
      </c>
      <c r="T52" s="82" t="s">
        <v>44</v>
      </c>
      <c r="U52" s="82" t="s">
        <v>45</v>
      </c>
      <c r="V52" s="82" t="s">
        <v>45</v>
      </c>
      <c r="W52" s="82" t="s">
        <v>44</v>
      </c>
      <c r="X52" s="82" t="s">
        <v>45</v>
      </c>
      <c r="Y52" s="82" t="s">
        <v>45</v>
      </c>
      <c r="Z52" s="82" t="s">
        <v>45</v>
      </c>
      <c r="AA52" s="48">
        <f t="shared" si="7"/>
        <v>2</v>
      </c>
      <c r="AB52" s="49">
        <f t="shared" si="8"/>
        <v>1</v>
      </c>
      <c r="AC52" s="50" t="str">
        <f t="shared" si="9"/>
        <v>A</v>
      </c>
      <c r="AD52" s="57"/>
    </row>
    <row r="53" spans="1:30" ht="15.75" customHeight="1" x14ac:dyDescent="0.25">
      <c r="A53" s="3"/>
      <c r="B53" s="84" t="s">
        <v>120</v>
      </c>
      <c r="C53" s="85" t="str">
        <f t="shared" si="5"/>
        <v>Bósnia e Herzeg.</v>
      </c>
      <c r="D53" s="85" t="str">
        <f t="shared" si="6"/>
        <v>Catar</v>
      </c>
      <c r="E53" s="86" t="s">
        <v>72</v>
      </c>
      <c r="F53" s="7"/>
      <c r="G53" s="103" t="s">
        <v>44</v>
      </c>
      <c r="H53" s="82" t="s">
        <v>44</v>
      </c>
      <c r="I53" s="82" t="s">
        <v>44</v>
      </c>
      <c r="J53" s="82" t="s">
        <v>44</v>
      </c>
      <c r="K53" s="82" t="s">
        <v>46</v>
      </c>
      <c r="L53" s="82" t="s">
        <v>44</v>
      </c>
      <c r="M53" s="82" t="s">
        <v>44</v>
      </c>
      <c r="N53" s="82" t="s">
        <v>44</v>
      </c>
      <c r="O53" s="82" t="s">
        <v>44</v>
      </c>
      <c r="P53" s="82" t="s">
        <v>44</v>
      </c>
      <c r="Q53" s="113" t="s">
        <v>44</v>
      </c>
      <c r="R53" s="82" t="s">
        <v>46</v>
      </c>
      <c r="S53" s="82" t="s">
        <v>44</v>
      </c>
      <c r="T53" s="82" t="s">
        <v>44</v>
      </c>
      <c r="U53" s="82" t="s">
        <v>44</v>
      </c>
      <c r="V53" s="82" t="s">
        <v>46</v>
      </c>
      <c r="W53" s="82" t="s">
        <v>45</v>
      </c>
      <c r="X53" s="82" t="s">
        <v>45</v>
      </c>
      <c r="Y53" s="82" t="s">
        <v>44</v>
      </c>
      <c r="Z53" s="82" t="s">
        <v>45</v>
      </c>
      <c r="AA53" s="48">
        <f t="shared" si="7"/>
        <v>3</v>
      </c>
      <c r="AB53" s="49">
        <f t="shared" si="8"/>
        <v>1</v>
      </c>
      <c r="AC53" s="50" t="str">
        <f t="shared" si="9"/>
        <v>A</v>
      </c>
      <c r="AD53" s="57"/>
    </row>
    <row r="54" spans="1:30" ht="15.75" customHeight="1" x14ac:dyDescent="0.25">
      <c r="A54" s="3"/>
      <c r="B54" s="84" t="s">
        <v>121</v>
      </c>
      <c r="C54" s="85" t="str">
        <f t="shared" si="5"/>
        <v>Marrocos</v>
      </c>
      <c r="D54" s="85" t="str">
        <f t="shared" si="6"/>
        <v>Haiti</v>
      </c>
      <c r="E54" s="86" t="s">
        <v>82</v>
      </c>
      <c r="F54" s="7"/>
      <c r="G54" s="92" t="s">
        <v>44</v>
      </c>
      <c r="H54" s="74" t="s">
        <v>44</v>
      </c>
      <c r="I54" s="74" t="s">
        <v>44</v>
      </c>
      <c r="J54" s="74" t="s">
        <v>44</v>
      </c>
      <c r="K54" s="74" t="s">
        <v>44</v>
      </c>
      <c r="L54" s="74" t="s">
        <v>44</v>
      </c>
      <c r="M54" s="74" t="s">
        <v>44</v>
      </c>
      <c r="N54" s="74" t="s">
        <v>44</v>
      </c>
      <c r="O54" s="74" t="s">
        <v>44</v>
      </c>
      <c r="P54" s="74" t="s">
        <v>44</v>
      </c>
      <c r="Q54" s="114" t="s">
        <v>44</v>
      </c>
      <c r="R54" s="74" t="s">
        <v>44</v>
      </c>
      <c r="S54" s="74" t="s">
        <v>44</v>
      </c>
      <c r="T54" s="74" t="s">
        <v>44</v>
      </c>
      <c r="U54" s="74" t="s">
        <v>44</v>
      </c>
      <c r="V54" s="74" t="s">
        <v>44</v>
      </c>
      <c r="W54" s="74" t="s">
        <v>44</v>
      </c>
      <c r="X54" s="74" t="s">
        <v>44</v>
      </c>
      <c r="Y54" s="74" t="s">
        <v>44</v>
      </c>
      <c r="Z54" s="74" t="s">
        <v>44</v>
      </c>
      <c r="AA54" s="48">
        <f t="shared" si="7"/>
        <v>4</v>
      </c>
      <c r="AB54" s="49">
        <f t="shared" si="8"/>
        <v>2</v>
      </c>
      <c r="AC54" s="50" t="str">
        <f t="shared" si="9"/>
        <v>A</v>
      </c>
      <c r="AD54" s="57"/>
    </row>
    <row r="55" spans="1:30" ht="15.75" customHeight="1" x14ac:dyDescent="0.25">
      <c r="A55" s="3"/>
      <c r="B55" s="87" t="s">
        <v>122</v>
      </c>
      <c r="C55" s="88" t="str">
        <f t="shared" si="5"/>
        <v>Escócia</v>
      </c>
      <c r="D55" s="88" t="str">
        <f t="shared" si="6"/>
        <v>Brasil</v>
      </c>
      <c r="E55" s="89" t="s">
        <v>118</v>
      </c>
      <c r="F55" s="7"/>
      <c r="G55" s="92" t="s">
        <v>45</v>
      </c>
      <c r="H55" s="74" t="s">
        <v>45</v>
      </c>
      <c r="I55" s="74" t="s">
        <v>45</v>
      </c>
      <c r="J55" s="74" t="s">
        <v>45</v>
      </c>
      <c r="K55" s="74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11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48">
        <f t="shared" si="7"/>
        <v>0</v>
      </c>
      <c r="AB55" s="49">
        <f t="shared" si="8"/>
        <v>3</v>
      </c>
      <c r="AC55" s="50" t="str">
        <f t="shared" si="9"/>
        <v>B</v>
      </c>
      <c r="AD55" s="57"/>
    </row>
    <row r="56" spans="1:30" ht="15.75" customHeight="1" x14ac:dyDescent="0.25">
      <c r="A56" s="4">
        <v>46198</v>
      </c>
      <c r="B56" s="60" t="s">
        <v>123</v>
      </c>
      <c r="C56" s="61" t="str">
        <f t="shared" si="5"/>
        <v>Turquia</v>
      </c>
      <c r="D56" s="61" t="str">
        <f t="shared" si="6"/>
        <v>Estados Unidos</v>
      </c>
      <c r="E56" s="35" t="s">
        <v>105</v>
      </c>
      <c r="F56" s="7"/>
      <c r="G56" s="115" t="s">
        <v>45</v>
      </c>
      <c r="H56" s="116" t="s">
        <v>45</v>
      </c>
      <c r="I56" s="116" t="s">
        <v>45</v>
      </c>
      <c r="J56" s="116" t="s">
        <v>45</v>
      </c>
      <c r="K56" s="116" t="s">
        <v>45</v>
      </c>
      <c r="L56" s="116" t="s">
        <v>45</v>
      </c>
      <c r="M56" s="116" t="s">
        <v>45</v>
      </c>
      <c r="N56" s="116" t="s">
        <v>45</v>
      </c>
      <c r="O56" s="116" t="s">
        <v>45</v>
      </c>
      <c r="P56" s="116" t="s">
        <v>45</v>
      </c>
      <c r="Q56" s="116" t="s">
        <v>45</v>
      </c>
      <c r="R56" s="116" t="s">
        <v>45</v>
      </c>
      <c r="S56" s="116" t="s">
        <v>45</v>
      </c>
      <c r="T56" s="116" t="s">
        <v>46</v>
      </c>
      <c r="U56" s="116" t="s">
        <v>45</v>
      </c>
      <c r="V56" s="116" t="s">
        <v>45</v>
      </c>
      <c r="W56" s="116" t="s">
        <v>45</v>
      </c>
      <c r="X56" s="116" t="s">
        <v>45</v>
      </c>
      <c r="Y56" s="116" t="s">
        <v>45</v>
      </c>
      <c r="Z56" s="116" t="s">
        <v>45</v>
      </c>
      <c r="AA56" s="48">
        <f t="shared" si="7"/>
        <v>3</v>
      </c>
      <c r="AB56" s="49">
        <f t="shared" si="8"/>
        <v>2</v>
      </c>
      <c r="AC56" s="50" t="str">
        <f t="shared" si="9"/>
        <v>A</v>
      </c>
      <c r="AD56" s="57"/>
    </row>
    <row r="57" spans="1:30" ht="15.75" customHeight="1" x14ac:dyDescent="0.25">
      <c r="A57" s="4"/>
      <c r="B57" s="65" t="s">
        <v>124</v>
      </c>
      <c r="C57" s="66" t="str">
        <f t="shared" si="5"/>
        <v>Paraguai</v>
      </c>
      <c r="D57" s="66" t="str">
        <f t="shared" si="6"/>
        <v>Austrália</v>
      </c>
      <c r="E57" s="67" t="s">
        <v>69</v>
      </c>
      <c r="F57" s="7"/>
      <c r="G57" s="113" t="s">
        <v>45</v>
      </c>
      <c r="H57" s="82" t="s">
        <v>44</v>
      </c>
      <c r="I57" s="82" t="s">
        <v>46</v>
      </c>
      <c r="J57" s="82" t="s">
        <v>46</v>
      </c>
      <c r="K57" s="82" t="s">
        <v>44</v>
      </c>
      <c r="L57" s="82" t="s">
        <v>44</v>
      </c>
      <c r="M57" s="82" t="s">
        <v>44</v>
      </c>
      <c r="N57" s="82" t="s">
        <v>46</v>
      </c>
      <c r="O57" s="82" t="s">
        <v>44</v>
      </c>
      <c r="P57" s="82" t="s">
        <v>45</v>
      </c>
      <c r="Q57" s="82" t="s">
        <v>44</v>
      </c>
      <c r="R57" s="82" t="s">
        <v>46</v>
      </c>
      <c r="S57" s="82" t="s">
        <v>46</v>
      </c>
      <c r="T57" s="82" t="s">
        <v>46</v>
      </c>
      <c r="U57" s="82" t="s">
        <v>44</v>
      </c>
      <c r="V57" s="82" t="s">
        <v>44</v>
      </c>
      <c r="W57" s="82" t="s">
        <v>44</v>
      </c>
      <c r="X57" s="82" t="s">
        <v>44</v>
      </c>
      <c r="Y57" s="82" t="s">
        <v>46</v>
      </c>
      <c r="Z57" s="82" t="s">
        <v>46</v>
      </c>
      <c r="AA57" s="48">
        <f t="shared" si="7"/>
        <v>0</v>
      </c>
      <c r="AB57" s="49">
        <f t="shared" si="8"/>
        <v>0</v>
      </c>
      <c r="AC57" s="50" t="str">
        <f t="shared" si="9"/>
        <v>E</v>
      </c>
      <c r="AD57" s="57"/>
    </row>
    <row r="58" spans="1:30" ht="15.75" customHeight="1" x14ac:dyDescent="0.25">
      <c r="A58" s="4"/>
      <c r="B58" s="70" t="s">
        <v>125</v>
      </c>
      <c r="C58" s="71" t="str">
        <f t="shared" si="5"/>
        <v>Curaçao</v>
      </c>
      <c r="D58" s="71" t="str">
        <f t="shared" si="6"/>
        <v>Costa do Marfim</v>
      </c>
      <c r="E58" s="72" t="s">
        <v>126</v>
      </c>
      <c r="F58" s="7"/>
      <c r="G58" s="113" t="s">
        <v>45</v>
      </c>
      <c r="H58" s="82" t="s">
        <v>45</v>
      </c>
      <c r="I58" s="82" t="s">
        <v>45</v>
      </c>
      <c r="J58" s="82" t="s">
        <v>45</v>
      </c>
      <c r="K58" s="82" t="s">
        <v>45</v>
      </c>
      <c r="L58" s="82" t="s">
        <v>45</v>
      </c>
      <c r="M58" s="82" t="s">
        <v>45</v>
      </c>
      <c r="N58" s="82" t="s">
        <v>45</v>
      </c>
      <c r="O58" s="82" t="s">
        <v>45</v>
      </c>
      <c r="P58" s="82" t="s">
        <v>45</v>
      </c>
      <c r="Q58" s="82" t="s">
        <v>46</v>
      </c>
      <c r="R58" s="82" t="s">
        <v>45</v>
      </c>
      <c r="S58" s="82" t="s">
        <v>45</v>
      </c>
      <c r="T58" s="82" t="s">
        <v>45</v>
      </c>
      <c r="U58" s="82" t="s">
        <v>45</v>
      </c>
      <c r="V58" s="82" t="s">
        <v>45</v>
      </c>
      <c r="W58" s="82" t="s">
        <v>46</v>
      </c>
      <c r="X58" s="82" t="s">
        <v>45</v>
      </c>
      <c r="Y58" s="82" t="s">
        <v>45</v>
      </c>
      <c r="Z58" s="82" t="s">
        <v>46</v>
      </c>
      <c r="AA58" s="48">
        <f t="shared" si="7"/>
        <v>0</v>
      </c>
      <c r="AB58" s="49">
        <f t="shared" si="8"/>
        <v>2</v>
      </c>
      <c r="AC58" s="50" t="str">
        <f t="shared" si="9"/>
        <v>B</v>
      </c>
      <c r="AD58" s="57"/>
    </row>
    <row r="59" spans="1:30" ht="15.75" customHeight="1" x14ac:dyDescent="0.25">
      <c r="A59" s="4"/>
      <c r="B59" s="70" t="s">
        <v>127</v>
      </c>
      <c r="C59" s="71" t="str">
        <f t="shared" si="5"/>
        <v>Equador</v>
      </c>
      <c r="D59" s="71" t="str">
        <f t="shared" si="6"/>
        <v>Alemanha</v>
      </c>
      <c r="E59" s="72" t="s">
        <v>48</v>
      </c>
      <c r="F59" s="7"/>
      <c r="G59" s="113" t="s">
        <v>45</v>
      </c>
      <c r="H59" s="82" t="s">
        <v>45</v>
      </c>
      <c r="I59" s="82" t="s">
        <v>45</v>
      </c>
      <c r="J59" s="82" t="s">
        <v>45</v>
      </c>
      <c r="K59" s="82" t="s">
        <v>45</v>
      </c>
      <c r="L59" s="82" t="s">
        <v>45</v>
      </c>
      <c r="M59" s="82" t="s">
        <v>45</v>
      </c>
      <c r="N59" s="82" t="s">
        <v>45</v>
      </c>
      <c r="O59" s="82" t="s">
        <v>45</v>
      </c>
      <c r="P59" s="82" t="s">
        <v>45</v>
      </c>
      <c r="Q59" s="82" t="s">
        <v>45</v>
      </c>
      <c r="R59" s="82" t="s">
        <v>44</v>
      </c>
      <c r="S59" s="82" t="s">
        <v>45</v>
      </c>
      <c r="T59" s="82" t="s">
        <v>45</v>
      </c>
      <c r="U59" s="82" t="s">
        <v>45</v>
      </c>
      <c r="V59" s="82" t="s">
        <v>45</v>
      </c>
      <c r="W59" s="82" t="s">
        <v>45</v>
      </c>
      <c r="X59" s="82" t="s">
        <v>45</v>
      </c>
      <c r="Y59" s="82" t="s">
        <v>45</v>
      </c>
      <c r="Z59" s="82" t="s">
        <v>45</v>
      </c>
      <c r="AA59" s="48">
        <f t="shared" si="7"/>
        <v>2</v>
      </c>
      <c r="AB59" s="49">
        <f t="shared" si="8"/>
        <v>1</v>
      </c>
      <c r="AC59" s="50" t="str">
        <f t="shared" si="9"/>
        <v>A</v>
      </c>
      <c r="AD59" s="57"/>
    </row>
    <row r="60" spans="1:30" ht="15.75" customHeight="1" x14ac:dyDescent="0.25">
      <c r="A60" s="4"/>
      <c r="B60" s="70" t="s">
        <v>128</v>
      </c>
      <c r="C60" s="71" t="str">
        <f t="shared" si="5"/>
        <v>Tunísia</v>
      </c>
      <c r="D60" s="71" t="str">
        <f t="shared" si="6"/>
        <v>Países Baixos</v>
      </c>
      <c r="E60" s="72" t="s">
        <v>80</v>
      </c>
      <c r="F60" s="7"/>
      <c r="G60" s="114" t="s">
        <v>45</v>
      </c>
      <c r="H60" s="74" t="s">
        <v>45</v>
      </c>
      <c r="I60" s="74" t="s">
        <v>45</v>
      </c>
      <c r="J60" s="74" t="s">
        <v>45</v>
      </c>
      <c r="K60" s="74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48">
        <f t="shared" si="7"/>
        <v>1</v>
      </c>
      <c r="AB60" s="49">
        <f t="shared" si="8"/>
        <v>3</v>
      </c>
      <c r="AC60" s="50" t="str">
        <f t="shared" si="9"/>
        <v>B</v>
      </c>
      <c r="AD60" s="57"/>
    </row>
    <row r="61" spans="1:30" ht="15.75" customHeight="1" x14ac:dyDescent="0.25">
      <c r="A61" s="4"/>
      <c r="B61" s="76" t="s">
        <v>129</v>
      </c>
      <c r="C61" s="77" t="str">
        <f t="shared" si="5"/>
        <v>Japão</v>
      </c>
      <c r="D61" s="77" t="str">
        <f t="shared" si="6"/>
        <v>Suécia</v>
      </c>
      <c r="E61" s="35" t="s">
        <v>50</v>
      </c>
      <c r="F61" s="7"/>
      <c r="G61" s="117" t="s">
        <v>44</v>
      </c>
      <c r="H61" s="46" t="s">
        <v>44</v>
      </c>
      <c r="I61" s="46" t="s">
        <v>44</v>
      </c>
      <c r="J61" s="46" t="s">
        <v>44</v>
      </c>
      <c r="K61" s="46" t="s">
        <v>44</v>
      </c>
      <c r="L61" s="46" t="s">
        <v>44</v>
      </c>
      <c r="M61" s="46" t="s">
        <v>44</v>
      </c>
      <c r="N61" s="46" t="s">
        <v>44</v>
      </c>
      <c r="O61" s="46" t="s">
        <v>44</v>
      </c>
      <c r="P61" s="46" t="s">
        <v>44</v>
      </c>
      <c r="Q61" s="46" t="s">
        <v>44</v>
      </c>
      <c r="R61" s="46" t="s">
        <v>44</v>
      </c>
      <c r="S61" s="46" t="s">
        <v>44</v>
      </c>
      <c r="T61" s="46" t="s">
        <v>46</v>
      </c>
      <c r="U61" s="46" t="s">
        <v>44</v>
      </c>
      <c r="V61" s="46" t="s">
        <v>44</v>
      </c>
      <c r="W61" s="46" t="s">
        <v>45</v>
      </c>
      <c r="X61" s="46" t="s">
        <v>44</v>
      </c>
      <c r="Y61" s="46" t="s">
        <v>44</v>
      </c>
      <c r="Z61" s="46" t="s">
        <v>44</v>
      </c>
      <c r="AA61" s="48">
        <f t="shared" si="7"/>
        <v>1</v>
      </c>
      <c r="AB61" s="49">
        <f t="shared" si="8"/>
        <v>1</v>
      </c>
      <c r="AC61" s="50" t="str">
        <f t="shared" si="9"/>
        <v>E</v>
      </c>
      <c r="AD61" s="57"/>
    </row>
    <row r="62" spans="1:30" ht="15.75" customHeight="1" x14ac:dyDescent="0.25">
      <c r="A62" s="3">
        <v>46199</v>
      </c>
      <c r="B62" s="51" t="s">
        <v>130</v>
      </c>
      <c r="C62" s="52" t="str">
        <f t="shared" si="5"/>
        <v>Nova Zelândia</v>
      </c>
      <c r="D62" s="52" t="str">
        <f t="shared" si="6"/>
        <v>Bélgica</v>
      </c>
      <c r="E62" s="53" t="s">
        <v>131</v>
      </c>
      <c r="F62" s="7"/>
      <c r="G62" s="112" t="s">
        <v>45</v>
      </c>
      <c r="H62" s="63" t="s">
        <v>46</v>
      </c>
      <c r="I62" s="63" t="s">
        <v>45</v>
      </c>
      <c r="J62" s="63" t="s">
        <v>45</v>
      </c>
      <c r="K62" s="63" t="s">
        <v>45</v>
      </c>
      <c r="L62" s="63" t="s">
        <v>45</v>
      </c>
      <c r="M62" s="63" t="s">
        <v>45</v>
      </c>
      <c r="N62" s="63" t="s">
        <v>45</v>
      </c>
      <c r="O62" s="63" t="s">
        <v>45</v>
      </c>
      <c r="P62" s="63" t="s">
        <v>45</v>
      </c>
      <c r="Q62" s="63" t="s">
        <v>45</v>
      </c>
      <c r="R62" s="63" t="s">
        <v>46</v>
      </c>
      <c r="S62" s="63" t="s">
        <v>45</v>
      </c>
      <c r="T62" s="63" t="s">
        <v>45</v>
      </c>
      <c r="U62" s="63" t="s">
        <v>45</v>
      </c>
      <c r="V62" s="63" t="s">
        <v>45</v>
      </c>
      <c r="W62" s="63" t="s">
        <v>45</v>
      </c>
      <c r="X62" s="63" t="s">
        <v>45</v>
      </c>
      <c r="Y62" s="63" t="s">
        <v>45</v>
      </c>
      <c r="Z62" s="63" t="s">
        <v>45</v>
      </c>
      <c r="AA62" s="48">
        <f t="shared" si="7"/>
        <v>1</v>
      </c>
      <c r="AB62" s="49">
        <f t="shared" si="8"/>
        <v>5</v>
      </c>
      <c r="AC62" s="50" t="str">
        <f t="shared" si="9"/>
        <v>B</v>
      </c>
      <c r="AD62" s="57"/>
    </row>
    <row r="63" spans="1:30" ht="15.75" customHeight="1" x14ac:dyDescent="0.25">
      <c r="A63" s="3"/>
      <c r="B63" s="79" t="s">
        <v>132</v>
      </c>
      <c r="C63" s="80" t="str">
        <f t="shared" si="5"/>
        <v>Egito</v>
      </c>
      <c r="D63" s="80" t="str">
        <f t="shared" si="6"/>
        <v>Irã</v>
      </c>
      <c r="E63" s="81" t="s">
        <v>50</v>
      </c>
      <c r="F63" s="7"/>
      <c r="G63" s="113" t="s">
        <v>44</v>
      </c>
      <c r="H63" s="82" t="s">
        <v>44</v>
      </c>
      <c r="I63" s="82" t="s">
        <v>44</v>
      </c>
      <c r="J63" s="82" t="s">
        <v>44</v>
      </c>
      <c r="K63" s="82" t="s">
        <v>44</v>
      </c>
      <c r="L63" s="82" t="s">
        <v>44</v>
      </c>
      <c r="M63" s="82" t="s">
        <v>44</v>
      </c>
      <c r="N63" s="82" t="s">
        <v>44</v>
      </c>
      <c r="O63" s="82" t="s">
        <v>44</v>
      </c>
      <c r="P63" s="82" t="s">
        <v>44</v>
      </c>
      <c r="Q63" s="82" t="s">
        <v>46</v>
      </c>
      <c r="R63" s="82" t="s">
        <v>46</v>
      </c>
      <c r="S63" s="82" t="s">
        <v>46</v>
      </c>
      <c r="T63" s="82" t="s">
        <v>44</v>
      </c>
      <c r="U63" s="82" t="s">
        <v>44</v>
      </c>
      <c r="V63" s="82" t="s">
        <v>44</v>
      </c>
      <c r="W63" s="82" t="s">
        <v>44</v>
      </c>
      <c r="X63" s="82" t="s">
        <v>46</v>
      </c>
      <c r="Y63" s="82" t="s">
        <v>44</v>
      </c>
      <c r="Z63" s="82" t="s">
        <v>44</v>
      </c>
      <c r="AA63" s="48">
        <f t="shared" si="7"/>
        <v>1</v>
      </c>
      <c r="AB63" s="49">
        <f t="shared" si="8"/>
        <v>1</v>
      </c>
      <c r="AC63" s="50" t="str">
        <f t="shared" si="9"/>
        <v>E</v>
      </c>
      <c r="AD63" s="57"/>
    </row>
    <row r="64" spans="1:30" ht="15.75" customHeight="1" x14ac:dyDescent="0.25">
      <c r="A64" s="3"/>
      <c r="B64" s="84" t="s">
        <v>133</v>
      </c>
      <c r="C64" s="85" t="str">
        <f t="shared" si="5"/>
        <v>Cabo Verde</v>
      </c>
      <c r="D64" s="85" t="str">
        <f t="shared" si="6"/>
        <v>Arábia Saudita</v>
      </c>
      <c r="E64" s="86" t="s">
        <v>69</v>
      </c>
      <c r="F64" s="7"/>
      <c r="G64" s="113" t="s">
        <v>44</v>
      </c>
      <c r="H64" s="82" t="s">
        <v>46</v>
      </c>
      <c r="I64" s="82" t="s">
        <v>44</v>
      </c>
      <c r="J64" s="82" t="s">
        <v>46</v>
      </c>
      <c r="K64" s="82" t="s">
        <v>46</v>
      </c>
      <c r="L64" s="82" t="s">
        <v>44</v>
      </c>
      <c r="M64" s="82" t="s">
        <v>45</v>
      </c>
      <c r="N64" s="82" t="s">
        <v>44</v>
      </c>
      <c r="O64" s="82" t="s">
        <v>45</v>
      </c>
      <c r="P64" s="82" t="s">
        <v>44</v>
      </c>
      <c r="Q64" s="82" t="s">
        <v>45</v>
      </c>
      <c r="R64" s="82" t="s">
        <v>46</v>
      </c>
      <c r="S64" s="82" t="s">
        <v>44</v>
      </c>
      <c r="T64" s="82" t="s">
        <v>45</v>
      </c>
      <c r="U64" s="82" t="s">
        <v>44</v>
      </c>
      <c r="V64" s="82" t="s">
        <v>45</v>
      </c>
      <c r="W64" s="82" t="s">
        <v>46</v>
      </c>
      <c r="X64" s="82" t="s">
        <v>44</v>
      </c>
      <c r="Y64" s="82" t="s">
        <v>44</v>
      </c>
      <c r="Z64" s="82" t="s">
        <v>44</v>
      </c>
      <c r="AA64" s="48">
        <f t="shared" si="7"/>
        <v>0</v>
      </c>
      <c r="AB64" s="49">
        <f t="shared" si="8"/>
        <v>0</v>
      </c>
      <c r="AC64" s="50" t="str">
        <f t="shared" si="9"/>
        <v>E</v>
      </c>
      <c r="AD64" s="57"/>
    </row>
    <row r="65" spans="1:30" ht="15.75" customHeight="1" x14ac:dyDescent="0.25">
      <c r="A65" s="3"/>
      <c r="B65" s="84" t="s">
        <v>134</v>
      </c>
      <c r="C65" s="85" t="str">
        <f t="shared" si="5"/>
        <v>Uruguai</v>
      </c>
      <c r="D65" s="85" t="str">
        <f t="shared" si="6"/>
        <v>Espanha</v>
      </c>
      <c r="E65" s="86" t="s">
        <v>56</v>
      </c>
      <c r="F65" s="7"/>
      <c r="G65" s="113" t="s">
        <v>44</v>
      </c>
      <c r="H65" s="82" t="s">
        <v>45</v>
      </c>
      <c r="I65" s="82" t="s">
        <v>45</v>
      </c>
      <c r="J65" s="82" t="s">
        <v>45</v>
      </c>
      <c r="K65" s="82" t="s">
        <v>45</v>
      </c>
      <c r="L65" s="82" t="s">
        <v>45</v>
      </c>
      <c r="M65" s="82" t="s">
        <v>45</v>
      </c>
      <c r="N65" s="82" t="s">
        <v>45</v>
      </c>
      <c r="O65" s="82" t="s">
        <v>46</v>
      </c>
      <c r="P65" s="82" t="s">
        <v>45</v>
      </c>
      <c r="Q65" s="82" t="s">
        <v>45</v>
      </c>
      <c r="R65" s="82" t="s">
        <v>46</v>
      </c>
      <c r="S65" s="82" t="s">
        <v>46</v>
      </c>
      <c r="T65" s="82" t="s">
        <v>46</v>
      </c>
      <c r="U65" s="82" t="s">
        <v>45</v>
      </c>
      <c r="V65" s="82" t="s">
        <v>45</v>
      </c>
      <c r="W65" s="82" t="s">
        <v>44</v>
      </c>
      <c r="X65" s="82" t="s">
        <v>44</v>
      </c>
      <c r="Y65" s="82" t="s">
        <v>46</v>
      </c>
      <c r="Z65" s="82" t="s">
        <v>44</v>
      </c>
      <c r="AA65" s="48">
        <f t="shared" si="7"/>
        <v>0</v>
      </c>
      <c r="AB65" s="49">
        <f t="shared" si="8"/>
        <v>1</v>
      </c>
      <c r="AC65" s="50" t="str">
        <f t="shared" si="9"/>
        <v>B</v>
      </c>
      <c r="AD65" s="57"/>
    </row>
    <row r="66" spans="1:30" ht="15.75" customHeight="1" x14ac:dyDescent="0.25">
      <c r="A66" s="3"/>
      <c r="B66" s="84" t="s">
        <v>135</v>
      </c>
      <c r="C66" s="85" t="str">
        <f t="shared" ref="C66:C97" si="10">TRIM(LEFT(B66,FIND(" x ",B66)-1))</f>
        <v>Noruega</v>
      </c>
      <c r="D66" s="85" t="str">
        <f t="shared" ref="D66:D73" si="11">TRIM(MID(B66,FIND(" x ",B66)+3,100))</f>
        <v>França</v>
      </c>
      <c r="E66" s="86" t="s">
        <v>74</v>
      </c>
      <c r="F66" s="7"/>
      <c r="G66" s="114" t="s">
        <v>45</v>
      </c>
      <c r="H66" s="74" t="s">
        <v>45</v>
      </c>
      <c r="I66" s="74" t="s">
        <v>45</v>
      </c>
      <c r="J66" s="74" t="s">
        <v>45</v>
      </c>
      <c r="K66" s="74" t="s">
        <v>46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44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44</v>
      </c>
      <c r="X66" s="74" t="s">
        <v>45</v>
      </c>
      <c r="Y66" s="74" t="s">
        <v>44</v>
      </c>
      <c r="Z66" s="74" t="s">
        <v>44</v>
      </c>
      <c r="AA66" s="48">
        <f t="shared" ref="AA66:AA73" si="12">IFERROR(VALUE(TRIM(LEFT($E66,SEARCH("x",$E66)-1))),"")</f>
        <v>1</v>
      </c>
      <c r="AB66" s="49">
        <f t="shared" ref="AB66:AB73" si="13">IFERROR(VALUE(TRIM(MID($E66,SEARCH("x",$E66)+1,10))),"")</f>
        <v>4</v>
      </c>
      <c r="AC66" s="50" t="str">
        <f t="shared" ref="AC66:AC73" si="14">IF(OR($AA66="",$AB66=""),"",IF($AA66&gt;$AB66,"A",IF($AA66&lt;$AB66,"B","E")))</f>
        <v>B</v>
      </c>
      <c r="AD66" s="57"/>
    </row>
    <row r="67" spans="1:30" ht="15.75" customHeight="1" x14ac:dyDescent="0.25">
      <c r="A67" s="3"/>
      <c r="B67" s="87" t="s">
        <v>136</v>
      </c>
      <c r="C67" s="88" t="str">
        <f t="shared" si="10"/>
        <v>Senegal</v>
      </c>
      <c r="D67" s="88" t="str">
        <f t="shared" si="11"/>
        <v>Iraque</v>
      </c>
      <c r="E67" s="89" t="s">
        <v>110</v>
      </c>
      <c r="F67" s="7"/>
      <c r="G67" s="117" t="s">
        <v>44</v>
      </c>
      <c r="H67" s="46" t="s">
        <v>44</v>
      </c>
      <c r="I67" s="46" t="s">
        <v>44</v>
      </c>
      <c r="J67" s="46" t="s">
        <v>44</v>
      </c>
      <c r="K67" s="46" t="s">
        <v>44</v>
      </c>
      <c r="L67" s="46" t="s">
        <v>44</v>
      </c>
      <c r="M67" s="46" t="s">
        <v>44</v>
      </c>
      <c r="N67" s="46" t="s">
        <v>44</v>
      </c>
      <c r="O67" s="46" t="s">
        <v>44</v>
      </c>
      <c r="P67" s="46" t="s">
        <v>44</v>
      </c>
      <c r="Q67" s="46" t="s">
        <v>45</v>
      </c>
      <c r="R67" s="46" t="s">
        <v>46</v>
      </c>
      <c r="S67" s="46" t="s">
        <v>44</v>
      </c>
      <c r="T67" s="46" t="s">
        <v>44</v>
      </c>
      <c r="U67" s="46" t="s">
        <v>44</v>
      </c>
      <c r="V67" s="46" t="s">
        <v>44</v>
      </c>
      <c r="W67" s="46" t="s">
        <v>44</v>
      </c>
      <c r="X67" s="46" t="s">
        <v>44</v>
      </c>
      <c r="Y67" s="46" t="s">
        <v>44</v>
      </c>
      <c r="Z67" s="46" t="s">
        <v>44</v>
      </c>
      <c r="AA67" s="48">
        <f t="shared" si="12"/>
        <v>5</v>
      </c>
      <c r="AB67" s="49">
        <f t="shared" si="13"/>
        <v>0</v>
      </c>
      <c r="AC67" s="50" t="str">
        <f t="shared" si="14"/>
        <v>A</v>
      </c>
      <c r="AD67" s="57"/>
    </row>
    <row r="68" spans="1:30" ht="15.75" customHeight="1" x14ac:dyDescent="0.25">
      <c r="A68" s="2">
        <v>46200</v>
      </c>
      <c r="B68" s="60" t="s">
        <v>137</v>
      </c>
      <c r="C68" s="61" t="str">
        <f t="shared" si="10"/>
        <v>Argélia</v>
      </c>
      <c r="D68" s="61" t="str">
        <f t="shared" si="11"/>
        <v>Áustria</v>
      </c>
      <c r="E68" s="35" t="s">
        <v>138</v>
      </c>
      <c r="F68" s="7"/>
      <c r="G68" s="112" t="s">
        <v>46</v>
      </c>
      <c r="H68" s="63" t="s">
        <v>44</v>
      </c>
      <c r="I68" s="63" t="s">
        <v>45</v>
      </c>
      <c r="J68" s="63" t="s">
        <v>45</v>
      </c>
      <c r="K68" s="63" t="s">
        <v>45</v>
      </c>
      <c r="L68" s="63" t="s">
        <v>45</v>
      </c>
      <c r="M68" s="63" t="s">
        <v>44</v>
      </c>
      <c r="N68" s="63" t="s">
        <v>45</v>
      </c>
      <c r="O68" s="63" t="s">
        <v>45</v>
      </c>
      <c r="P68" s="63" t="s">
        <v>45</v>
      </c>
      <c r="Q68" s="63" t="s">
        <v>45</v>
      </c>
      <c r="R68" s="63" t="s">
        <v>45</v>
      </c>
      <c r="S68" s="63" t="s">
        <v>45</v>
      </c>
      <c r="T68" s="63" t="s">
        <v>45</v>
      </c>
      <c r="U68" s="63" t="s">
        <v>45</v>
      </c>
      <c r="V68" s="63" t="s">
        <v>45</v>
      </c>
      <c r="W68" s="63" t="s">
        <v>46</v>
      </c>
      <c r="X68" s="63" t="s">
        <v>44</v>
      </c>
      <c r="Y68" s="63" t="s">
        <v>44</v>
      </c>
      <c r="Z68" s="63"/>
      <c r="AA68" s="48">
        <f t="shared" si="12"/>
        <v>3</v>
      </c>
      <c r="AB68" s="49">
        <f t="shared" si="13"/>
        <v>3</v>
      </c>
      <c r="AC68" s="50" t="str">
        <f t="shared" si="14"/>
        <v>E</v>
      </c>
      <c r="AD68" s="57"/>
    </row>
    <row r="69" spans="1:30" ht="15.75" customHeight="1" x14ac:dyDescent="0.25">
      <c r="A69" s="2"/>
      <c r="B69" s="65" t="s">
        <v>139</v>
      </c>
      <c r="C69" s="66" t="str">
        <f t="shared" si="10"/>
        <v>Jordânia</v>
      </c>
      <c r="D69" s="66" t="str">
        <f t="shared" si="11"/>
        <v>Argentina</v>
      </c>
      <c r="E69" s="67" t="s">
        <v>80</v>
      </c>
      <c r="F69" s="7"/>
      <c r="G69" s="113" t="s">
        <v>45</v>
      </c>
      <c r="H69" s="82" t="s">
        <v>45</v>
      </c>
      <c r="I69" s="82" t="s">
        <v>45</v>
      </c>
      <c r="J69" s="82" t="s">
        <v>45</v>
      </c>
      <c r="K69" s="82" t="s">
        <v>45</v>
      </c>
      <c r="L69" s="82" t="s">
        <v>45</v>
      </c>
      <c r="M69" s="82" t="s">
        <v>45</v>
      </c>
      <c r="N69" s="82" t="s">
        <v>45</v>
      </c>
      <c r="O69" s="82" t="s">
        <v>45</v>
      </c>
      <c r="P69" s="82" t="s">
        <v>45</v>
      </c>
      <c r="Q69" s="82" t="s">
        <v>45</v>
      </c>
      <c r="R69" s="82" t="s">
        <v>45</v>
      </c>
      <c r="S69" s="82" t="s">
        <v>45</v>
      </c>
      <c r="T69" s="82" t="s">
        <v>45</v>
      </c>
      <c r="U69" s="82" t="s">
        <v>45</v>
      </c>
      <c r="V69" s="82" t="s">
        <v>45</v>
      </c>
      <c r="W69" s="82" t="s">
        <v>45</v>
      </c>
      <c r="X69" s="82" t="s">
        <v>45</v>
      </c>
      <c r="Y69" s="82" t="s">
        <v>45</v>
      </c>
      <c r="Z69" s="82" t="s">
        <v>45</v>
      </c>
      <c r="AA69" s="48">
        <f t="shared" si="12"/>
        <v>1</v>
      </c>
      <c r="AB69" s="49">
        <f t="shared" si="13"/>
        <v>3</v>
      </c>
      <c r="AC69" s="50" t="str">
        <f t="shared" si="14"/>
        <v>B</v>
      </c>
      <c r="AD69" s="57"/>
    </row>
    <row r="70" spans="1:30" ht="15.75" customHeight="1" x14ac:dyDescent="0.25">
      <c r="A70" s="2"/>
      <c r="B70" s="70" t="s">
        <v>140</v>
      </c>
      <c r="C70" s="71" t="str">
        <f t="shared" si="10"/>
        <v>Colômbia</v>
      </c>
      <c r="D70" s="71" t="str">
        <f t="shared" si="11"/>
        <v>Portugal</v>
      </c>
      <c r="E70" s="72" t="s">
        <v>69</v>
      </c>
      <c r="F70" s="7"/>
      <c r="G70" s="113" t="s">
        <v>45</v>
      </c>
      <c r="H70" s="82" t="s">
        <v>46</v>
      </c>
      <c r="I70" s="82" t="s">
        <v>45</v>
      </c>
      <c r="J70" s="82" t="s">
        <v>45</v>
      </c>
      <c r="K70" s="82" t="s">
        <v>45</v>
      </c>
      <c r="L70" s="82" t="s">
        <v>45</v>
      </c>
      <c r="M70" s="82" t="s">
        <v>45</v>
      </c>
      <c r="N70" s="82" t="s">
        <v>45</v>
      </c>
      <c r="O70" s="82" t="s">
        <v>45</v>
      </c>
      <c r="P70" s="82" t="s">
        <v>44</v>
      </c>
      <c r="Q70" s="82" t="s">
        <v>45</v>
      </c>
      <c r="R70" s="82" t="s">
        <v>45</v>
      </c>
      <c r="S70" s="82" t="s">
        <v>45</v>
      </c>
      <c r="T70" s="82" t="s">
        <v>46</v>
      </c>
      <c r="U70" s="82" t="s">
        <v>45</v>
      </c>
      <c r="V70" s="82" t="s">
        <v>45</v>
      </c>
      <c r="W70" s="82" t="s">
        <v>44</v>
      </c>
      <c r="X70" s="82" t="s">
        <v>44</v>
      </c>
      <c r="Y70" s="82" t="s">
        <v>45</v>
      </c>
      <c r="Z70" s="82" t="s">
        <v>45</v>
      </c>
      <c r="AA70" s="48">
        <f t="shared" si="12"/>
        <v>0</v>
      </c>
      <c r="AB70" s="49">
        <f t="shared" si="13"/>
        <v>0</v>
      </c>
      <c r="AC70" s="50" t="str">
        <f t="shared" si="14"/>
        <v>E</v>
      </c>
      <c r="AD70" s="57"/>
    </row>
    <row r="71" spans="1:30" ht="15.75" customHeight="1" x14ac:dyDescent="0.25">
      <c r="A71" s="2"/>
      <c r="B71" s="70" t="s">
        <v>141</v>
      </c>
      <c r="C71" s="71" t="str">
        <f t="shared" si="10"/>
        <v>Rep. Dem. Congo</v>
      </c>
      <c r="D71" s="71" t="str">
        <f t="shared" si="11"/>
        <v>Uzbequistão</v>
      </c>
      <c r="E71" s="72" t="s">
        <v>72</v>
      </c>
      <c r="F71" s="7"/>
      <c r="G71" s="113" t="s">
        <v>44</v>
      </c>
      <c r="H71" s="82" t="s">
        <v>44</v>
      </c>
      <c r="I71" s="82" t="s">
        <v>44</v>
      </c>
      <c r="J71" s="82" t="s">
        <v>44</v>
      </c>
      <c r="K71" s="82" t="s">
        <v>44</v>
      </c>
      <c r="L71" s="82" t="s">
        <v>44</v>
      </c>
      <c r="M71" s="82" t="s">
        <v>44</v>
      </c>
      <c r="N71" s="82" t="s">
        <v>44</v>
      </c>
      <c r="O71" s="82" t="s">
        <v>44</v>
      </c>
      <c r="P71" s="82" t="s">
        <v>44</v>
      </c>
      <c r="Q71" s="82" t="s">
        <v>44</v>
      </c>
      <c r="R71" s="82" t="s">
        <v>46</v>
      </c>
      <c r="S71" s="82" t="s">
        <v>46</v>
      </c>
      <c r="T71" s="82" t="s">
        <v>46</v>
      </c>
      <c r="U71" s="82" t="s">
        <v>44</v>
      </c>
      <c r="V71" s="82" t="s">
        <v>44</v>
      </c>
      <c r="W71" s="82" t="s">
        <v>44</v>
      </c>
      <c r="X71" s="82" t="s">
        <v>44</v>
      </c>
      <c r="Y71" s="82" t="s">
        <v>44</v>
      </c>
      <c r="Z71" s="82" t="s">
        <v>46</v>
      </c>
      <c r="AA71" s="48">
        <f t="shared" si="12"/>
        <v>3</v>
      </c>
      <c r="AB71" s="49">
        <f t="shared" si="13"/>
        <v>1</v>
      </c>
      <c r="AC71" s="50" t="str">
        <f t="shared" si="14"/>
        <v>A</v>
      </c>
      <c r="AD71" s="57"/>
    </row>
    <row r="72" spans="1:30" ht="15.75" customHeight="1" x14ac:dyDescent="0.25">
      <c r="A72" s="2"/>
      <c r="B72" s="70" t="s">
        <v>142</v>
      </c>
      <c r="C72" s="71" t="str">
        <f t="shared" si="10"/>
        <v>Panamá</v>
      </c>
      <c r="D72" s="71" t="str">
        <f t="shared" si="11"/>
        <v>Inglaterra</v>
      </c>
      <c r="E72" s="72" t="s">
        <v>126</v>
      </c>
      <c r="F72" s="7"/>
      <c r="G72" s="114" t="s">
        <v>45</v>
      </c>
      <c r="H72" s="74" t="s">
        <v>45</v>
      </c>
      <c r="I72" s="74" t="s">
        <v>45</v>
      </c>
      <c r="J72" s="74" t="s">
        <v>45</v>
      </c>
      <c r="K72" s="74" t="s">
        <v>45</v>
      </c>
      <c r="L72" s="74" t="s">
        <v>45</v>
      </c>
      <c r="M72" s="74" t="s">
        <v>45</v>
      </c>
      <c r="N72" s="74" t="s">
        <v>45</v>
      </c>
      <c r="O72" s="74" t="s">
        <v>45</v>
      </c>
      <c r="P72" s="74" t="s">
        <v>45</v>
      </c>
      <c r="Q72" s="74" t="s">
        <v>45</v>
      </c>
      <c r="R72" s="74" t="s">
        <v>45</v>
      </c>
      <c r="S72" s="74" t="s">
        <v>45</v>
      </c>
      <c r="T72" s="74" t="s">
        <v>45</v>
      </c>
      <c r="U72" s="74" t="s">
        <v>45</v>
      </c>
      <c r="V72" s="74" t="s">
        <v>45</v>
      </c>
      <c r="W72" s="74" t="s">
        <v>45</v>
      </c>
      <c r="X72" s="74" t="s">
        <v>45</v>
      </c>
      <c r="Y72" s="74" t="s">
        <v>45</v>
      </c>
      <c r="Z72" s="74" t="s">
        <v>45</v>
      </c>
      <c r="AA72" s="48">
        <f t="shared" si="12"/>
        <v>0</v>
      </c>
      <c r="AB72" s="49">
        <f t="shared" si="13"/>
        <v>2</v>
      </c>
      <c r="AC72" s="50" t="str">
        <f t="shared" si="14"/>
        <v>B</v>
      </c>
      <c r="AD72" s="57"/>
    </row>
    <row r="73" spans="1:30" ht="15.75" customHeight="1" x14ac:dyDescent="0.25">
      <c r="A73" s="2"/>
      <c r="B73" s="118" t="s">
        <v>143</v>
      </c>
      <c r="C73" s="119" t="str">
        <f t="shared" si="10"/>
        <v>Croácia</v>
      </c>
      <c r="D73" s="119" t="str">
        <f t="shared" si="11"/>
        <v>Gana</v>
      </c>
      <c r="E73" s="120" t="s">
        <v>48</v>
      </c>
      <c r="F73" s="7"/>
      <c r="G73" s="117" t="s">
        <v>44</v>
      </c>
      <c r="H73" s="46" t="s">
        <v>45</v>
      </c>
      <c r="I73" s="46" t="s">
        <v>44</v>
      </c>
      <c r="J73" s="46" t="s">
        <v>46</v>
      </c>
      <c r="K73" s="46" t="s">
        <v>46</v>
      </c>
      <c r="L73" s="46" t="s">
        <v>45</v>
      </c>
      <c r="M73" s="46" t="s">
        <v>44</v>
      </c>
      <c r="N73" s="46" t="s">
        <v>44</v>
      </c>
      <c r="O73" s="46" t="s">
        <v>45</v>
      </c>
      <c r="P73" s="46" t="s">
        <v>45</v>
      </c>
      <c r="Q73" s="46" t="s">
        <v>44</v>
      </c>
      <c r="R73" s="46" t="s">
        <v>45</v>
      </c>
      <c r="S73" s="46" t="s">
        <v>44</v>
      </c>
      <c r="T73" s="46" t="s">
        <v>46</v>
      </c>
      <c r="U73" s="46" t="s">
        <v>45</v>
      </c>
      <c r="V73" s="46"/>
      <c r="W73" s="46" t="s">
        <v>45</v>
      </c>
      <c r="X73" s="46" t="s">
        <v>44</v>
      </c>
      <c r="Y73" s="46" t="s">
        <v>44</v>
      </c>
      <c r="Z73" s="46" t="s">
        <v>46</v>
      </c>
      <c r="AA73" s="48">
        <f t="shared" si="12"/>
        <v>2</v>
      </c>
      <c r="AB73" s="49">
        <f t="shared" si="13"/>
        <v>1</v>
      </c>
      <c r="AC73" s="121" t="str">
        <f t="shared" si="14"/>
        <v>A</v>
      </c>
      <c r="AD73" s="57"/>
    </row>
    <row r="74" spans="1:30" ht="15.75" customHeight="1" x14ac:dyDescent="0.25">
      <c r="F74" s="122" t="s">
        <v>144</v>
      </c>
      <c r="G74" s="123">
        <f t="array" ref="G74">SUMPRODUCT(--(UPPER(G2:G73)=$AC$2:$AC$73),--($AC$2:$AC$73&lt;&gt;""))</f>
        <v>42</v>
      </c>
      <c r="H74" s="123">
        <f t="array" ref="H74">SUMPRODUCT(--(UPPER(H2:H73)=$AC$2:$AC$73),--($AC$2:$AC$73&lt;&gt;""))</f>
        <v>42</v>
      </c>
      <c r="I74" s="123">
        <f t="array" ref="I74">SUMPRODUCT(--(UPPER(I2:I73)=$AC$2:$AC$73),--($AC$2:$AC$73&lt;&gt;""))</f>
        <v>42</v>
      </c>
      <c r="J74" s="123">
        <f t="array" ref="J74">SUMPRODUCT(--(UPPER(J2:J73)=$AC$2:$AC$73),--($AC$2:$AC$73&lt;&gt;""))</f>
        <v>44</v>
      </c>
      <c r="K74" s="123">
        <f t="array" ref="K74">SUMPRODUCT(--(UPPER(K2:K73)=$AC$2:$AC$73),--($AC$2:$AC$73&lt;&gt;""))</f>
        <v>40</v>
      </c>
      <c r="L74" s="123">
        <f t="array" ref="L74">SUMPRODUCT(--(UPPER(L2:L73)=$AC$2:$AC$73),--($AC$2:$AC$73&lt;&gt;""))</f>
        <v>40</v>
      </c>
      <c r="M74" s="123">
        <f t="array" ref="M74">SUMPRODUCT(--(UPPER(M2:M73)=$AC$2:$AC$73),--($AC$2:$AC$73&lt;&gt;""))</f>
        <v>44</v>
      </c>
      <c r="N74" s="123">
        <f t="array" ref="N74">SUMPRODUCT(--(UPPER(N2:N73)=$AC$2:$AC$73),--($AC$2:$AC$73&lt;&gt;""))</f>
        <v>47</v>
      </c>
      <c r="O74" s="123">
        <f t="array" ref="O74">SUMPRODUCT(--(UPPER(O2:O73)=$AC$2:$AC$73),--($AC$2:$AC$73&lt;&gt;""))</f>
        <v>38</v>
      </c>
      <c r="P74" s="123">
        <f t="array" ref="P74">SUMPRODUCT(--(UPPER(P2:P73)=$AC$2:$AC$73),--($AC$2:$AC$73&lt;&gt;""))</f>
        <v>42</v>
      </c>
      <c r="Q74" s="123">
        <f t="array" ref="Q74">SUMPRODUCT(--(UPPER(Q2:Q73)=$AC$2:$AC$73),--($AC$2:$AC$73&lt;&gt;""))</f>
        <v>39</v>
      </c>
      <c r="R74" s="123">
        <f t="array" ref="R74">SUMPRODUCT(--(UPPER(R2:R73)=$AC$2:$AC$73),--($AC$2:$AC$73&lt;&gt;""))</f>
        <v>37</v>
      </c>
      <c r="S74" s="123">
        <f t="array" ref="S74">SUMPRODUCT(--(UPPER(S2:S73)=$AC$2:$AC$73),--($AC$2:$AC$73&lt;&gt;""))</f>
        <v>35</v>
      </c>
      <c r="T74" s="123">
        <f t="array" ref="T74">SUMPRODUCT(--(UPPER(T2:T73)=$AC$2:$AC$73),--($AC$2:$AC$73&lt;&gt;""))</f>
        <v>36</v>
      </c>
      <c r="U74" s="123">
        <f t="array" ref="U74">SUMPRODUCT(--(UPPER(U2:U73)=$AC$2:$AC$73),--($AC$2:$AC$73&lt;&gt;""))</f>
        <v>41</v>
      </c>
      <c r="V74" s="123">
        <f t="array" ref="V74">SUMPRODUCT(--(UPPER(V2:V73)=$AC$2:$AC$73),--($AC$2:$AC$73&lt;&gt;""))</f>
        <v>38</v>
      </c>
      <c r="W74" s="123">
        <f t="array" ref="W74">SUMPRODUCT(--(UPPER(W2:W73)=$AC$2:$AC$73),--($AC$2:$AC$73&lt;&gt;""))</f>
        <v>41</v>
      </c>
      <c r="X74" s="123">
        <f t="array" ref="X74">SUMPRODUCT(--(UPPER(X2:X73)=$AC$2:$AC$73),--($AC$2:$AC$73&lt;&gt;""))</f>
        <v>38</v>
      </c>
      <c r="Y74" s="123">
        <f t="array" ref="Y74">SUMPRODUCT(--(UPPER(Y2:Y73)=$AC$2:$AC$73),--($AC$2:$AC$73&lt;&gt;""))</f>
        <v>39</v>
      </c>
      <c r="Z74" s="123">
        <f t="array" ref="Z74">SUMPRODUCT(--(UPPER(Z2:Z73)=$AC$2:$AC$73),--($AC$2:$AC$73&lt;&gt;""))</f>
        <v>33</v>
      </c>
    </row>
  </sheetData>
  <mergeCells count="18">
    <mergeCell ref="A62:A67"/>
    <mergeCell ref="A68:A73"/>
    <mergeCell ref="F1:F73"/>
    <mergeCell ref="A2:A3"/>
    <mergeCell ref="A4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5"/>
    <mergeCell ref="A56:A61"/>
  </mergeCells>
  <conditionalFormatting sqref="G50">
    <cfRule type="expression" dxfId="15" priority="2">
      <formula>AND($AC50&lt;&gt;"",G50=$AC50)</formula>
    </cfRule>
    <cfRule type="expression" dxfId="14" priority="3">
      <formula>AND($AC50&lt;&gt;"",G50&lt;&gt;"",G50&lt;&gt;$AC50)</formula>
    </cfRule>
  </conditionalFormatting>
  <conditionalFormatting sqref="G2:Z37 G38:U39 W38:Z39 V39 G40:Z49 H50:Z51 G51:Z73">
    <cfRule type="expression" dxfId="13" priority="4">
      <formula>AND($AC2&lt;&gt;"",G2=$AC2)</formula>
    </cfRule>
    <cfRule type="expression" dxfId="12" priority="5">
      <formula>AND($AC2&lt;&gt;"",G2&lt;&gt;"",G2&lt;&gt;$AC2)</formula>
    </cfRule>
  </conditionalFormatting>
  <conditionalFormatting sqref="V38">
    <cfRule type="expression" dxfId="11" priority="6">
      <formula>AND($AC39&lt;&gt;"",V38=$AC39)</formula>
    </cfRule>
    <cfRule type="expression" dxfId="10" priority="7">
      <formula>AND($AC39&lt;&gt;"",V38&lt;&gt;"",V38&lt;&gt;$AC39)</formula>
    </cfRule>
  </conditionalFormatting>
  <dataValidations count="1">
    <dataValidation type="list" allowBlank="1" showInputMessage="1" showErrorMessage="1" sqref="G2:Z38 G39:U50 W39:Z39 V40:Z50 G52:Z73" xr:uid="{00000000-0002-0000-0200-000000000000}">
      <formula1>"A,B,E"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8"/>
  <sheetViews>
    <sheetView tabSelected="1" zoomScaleNormal="100" workbookViewId="0">
      <pane ySplit="1" topLeftCell="A2" activePane="bottomLeft" state="frozen"/>
      <selection pane="bottomLeft" activeCell="E17" sqref="E17"/>
    </sheetView>
  </sheetViews>
  <sheetFormatPr defaultColWidth="8.5703125" defaultRowHeight="15" x14ac:dyDescent="0.25"/>
  <cols>
    <col min="1" max="1" width="11.85546875" customWidth="1"/>
    <col min="2" max="2" width="32.42578125" customWidth="1"/>
    <col min="3" max="4" width="20.5703125" customWidth="1"/>
    <col min="5" max="6" width="12.5703125" customWidth="1"/>
    <col min="7" max="7" width="14.28515625" customWidth="1"/>
    <col min="8" max="8" width="6" customWidth="1"/>
    <col min="9" max="31" width="16.42578125" customWidth="1"/>
  </cols>
  <sheetData>
    <row r="1" spans="1:31" ht="16.5" customHeight="1" x14ac:dyDescent="0.25">
      <c r="A1" s="124" t="s">
        <v>30</v>
      </c>
      <c r="B1" s="26" t="s">
        <v>31</v>
      </c>
      <c r="C1" s="27" t="s">
        <v>32</v>
      </c>
      <c r="D1" s="27" t="s">
        <v>33</v>
      </c>
      <c r="E1" s="28" t="s">
        <v>34</v>
      </c>
      <c r="F1" s="125" t="s">
        <v>145</v>
      </c>
      <c r="G1" s="126" t="s">
        <v>146</v>
      </c>
      <c r="H1" s="127"/>
      <c r="I1" s="30" t="s">
        <v>3</v>
      </c>
      <c r="J1" s="128" t="s">
        <v>5</v>
      </c>
      <c r="K1" s="30" t="s">
        <v>6</v>
      </c>
      <c r="L1" s="30" t="s">
        <v>35</v>
      </c>
      <c r="M1" s="30" t="s">
        <v>7</v>
      </c>
      <c r="N1" s="30" t="s">
        <v>36</v>
      </c>
      <c r="O1" s="30" t="s">
        <v>8</v>
      </c>
      <c r="P1" s="30" t="s">
        <v>9</v>
      </c>
      <c r="Q1" s="30" t="s">
        <v>18</v>
      </c>
      <c r="R1" s="30" t="s">
        <v>10</v>
      </c>
      <c r="S1" s="30" t="s">
        <v>37</v>
      </c>
      <c r="T1" s="30" t="s">
        <v>11</v>
      </c>
      <c r="U1" s="30" t="s">
        <v>12</v>
      </c>
      <c r="V1" s="30" t="s">
        <v>13</v>
      </c>
      <c r="W1" s="30" t="s">
        <v>38</v>
      </c>
      <c r="X1" s="30" t="s">
        <v>14</v>
      </c>
      <c r="Y1" s="30" t="s">
        <v>15</v>
      </c>
      <c r="Z1" s="30" t="s">
        <v>16</v>
      </c>
      <c r="AA1" s="30" t="s">
        <v>17</v>
      </c>
      <c r="AB1" s="30" t="s">
        <v>19</v>
      </c>
      <c r="AC1" s="129" t="s">
        <v>39</v>
      </c>
      <c r="AD1" s="130" t="s">
        <v>40</v>
      </c>
      <c r="AE1" s="32" t="s">
        <v>41</v>
      </c>
    </row>
    <row r="2" spans="1:31" ht="15.75" customHeight="1" x14ac:dyDescent="0.25">
      <c r="A2" s="131">
        <v>46201</v>
      </c>
      <c r="B2" s="132" t="s">
        <v>147</v>
      </c>
      <c r="C2" s="133" t="str">
        <f t="shared" ref="C2:C17" si="0">TRIM(LEFT(B2,FIND(" x ",B2)-1))</f>
        <v>África do Sul</v>
      </c>
      <c r="D2" s="133" t="str">
        <f t="shared" ref="D2:D17" si="1">TRIM(MID(B2,FIND(" x ",B2)+3,100))</f>
        <v>Canadá</v>
      </c>
      <c r="E2" s="134" t="s">
        <v>56</v>
      </c>
      <c r="F2" s="135"/>
      <c r="G2" s="136"/>
      <c r="H2" s="137"/>
      <c r="I2" s="138" t="s">
        <v>45</v>
      </c>
      <c r="J2" s="139" t="s">
        <v>44</v>
      </c>
      <c r="K2" s="138" t="s">
        <v>45</v>
      </c>
      <c r="L2" s="138" t="s">
        <v>44</v>
      </c>
      <c r="M2" s="138" t="s">
        <v>46</v>
      </c>
      <c r="N2" s="138" t="s">
        <v>45</v>
      </c>
      <c r="O2" s="138" t="s">
        <v>45</v>
      </c>
      <c r="P2" s="138" t="s">
        <v>45</v>
      </c>
      <c r="Q2" s="138" t="s">
        <v>45</v>
      </c>
      <c r="R2" s="138" t="s">
        <v>45</v>
      </c>
      <c r="S2" s="138" t="s">
        <v>44</v>
      </c>
      <c r="T2" s="138"/>
      <c r="U2" s="138" t="s">
        <v>45</v>
      </c>
      <c r="V2" s="138" t="s">
        <v>45</v>
      </c>
      <c r="W2" s="138" t="s">
        <v>45</v>
      </c>
      <c r="X2" s="138" t="s">
        <v>45</v>
      </c>
      <c r="Y2" s="138"/>
      <c r="Z2" s="138" t="s">
        <v>44</v>
      </c>
      <c r="AA2" s="138" t="s">
        <v>45</v>
      </c>
      <c r="AB2" s="138"/>
      <c r="AC2" s="140">
        <f t="shared" ref="AC2:AC17" si="2">IFERROR(VALUE(TRIM(LEFT($E2,SEARCH("x",$E2)-1))),"")</f>
        <v>0</v>
      </c>
      <c r="AD2" s="49">
        <f t="shared" ref="AD2:AD17" si="3">IFERROR(VALUE(TRIM(MID($E2,SEARCH("x",$E2)+1,10))),"")</f>
        <v>1</v>
      </c>
      <c r="AE2" s="121" t="str">
        <f t="shared" ref="AE2:AE17" si="4">IF(OR($AC2="",$AD2=""),"",IF($AC2&gt;$AD2,"A",IF($AC2&lt;$AD2,"B","E")))</f>
        <v>B</v>
      </c>
    </row>
    <row r="3" spans="1:31" ht="15.75" customHeight="1" x14ac:dyDescent="0.25">
      <c r="A3" s="1">
        <v>46202</v>
      </c>
      <c r="B3" s="142" t="s">
        <v>148</v>
      </c>
      <c r="C3" s="66" t="str">
        <f t="shared" si="0"/>
        <v>Alemanha</v>
      </c>
      <c r="D3" s="66" t="str">
        <f t="shared" si="1"/>
        <v>Paraguai</v>
      </c>
      <c r="E3" s="134" t="s">
        <v>50</v>
      </c>
      <c r="F3" s="135" t="s">
        <v>45</v>
      </c>
      <c r="G3" s="136"/>
      <c r="H3" s="143"/>
      <c r="I3" s="63" t="s">
        <v>44</v>
      </c>
      <c r="J3" s="112" t="s">
        <v>44</v>
      </c>
      <c r="K3" s="63" t="s">
        <v>44</v>
      </c>
      <c r="L3" s="63" t="s">
        <v>44</v>
      </c>
      <c r="M3" s="63" t="s">
        <v>44</v>
      </c>
      <c r="N3" s="63" t="s">
        <v>44</v>
      </c>
      <c r="O3" s="63" t="s">
        <v>44</v>
      </c>
      <c r="P3" s="63" t="s">
        <v>44</v>
      </c>
      <c r="Q3" s="63" t="s">
        <v>44</v>
      </c>
      <c r="R3" s="63" t="s">
        <v>44</v>
      </c>
      <c r="S3" s="63" t="s">
        <v>44</v>
      </c>
      <c r="T3" s="63" t="s">
        <v>44</v>
      </c>
      <c r="U3" s="63" t="s">
        <v>44</v>
      </c>
      <c r="V3" s="63" t="s">
        <v>44</v>
      </c>
      <c r="W3" s="63" t="s">
        <v>44</v>
      </c>
      <c r="X3" s="63" t="s">
        <v>44</v>
      </c>
      <c r="Y3" s="63" t="s">
        <v>44</v>
      </c>
      <c r="Z3" s="63" t="s">
        <v>45</v>
      </c>
      <c r="AA3" s="63" t="s">
        <v>44</v>
      </c>
      <c r="AB3" s="63" t="s">
        <v>44</v>
      </c>
      <c r="AC3" s="144">
        <f t="shared" si="2"/>
        <v>1</v>
      </c>
      <c r="AD3" s="145">
        <f t="shared" si="3"/>
        <v>1</v>
      </c>
      <c r="AE3" s="146" t="str">
        <f t="shared" si="4"/>
        <v>E</v>
      </c>
    </row>
    <row r="4" spans="1:31" ht="15.75" customHeight="1" x14ac:dyDescent="0.25">
      <c r="A4" s="1"/>
      <c r="B4" s="33" t="s">
        <v>149</v>
      </c>
      <c r="C4" s="34" t="str">
        <f t="shared" si="0"/>
        <v>Países Baixos</v>
      </c>
      <c r="D4" s="34" t="str">
        <f t="shared" si="1"/>
        <v>Marrocos</v>
      </c>
      <c r="E4" s="147" t="s">
        <v>50</v>
      </c>
      <c r="F4" s="135" t="s">
        <v>45</v>
      </c>
      <c r="G4" s="136"/>
      <c r="H4" s="143"/>
      <c r="I4" s="82" t="s">
        <v>44</v>
      </c>
      <c r="J4" s="113" t="s">
        <v>45</v>
      </c>
      <c r="K4" s="82" t="s">
        <v>44</v>
      </c>
      <c r="L4" s="82" t="s">
        <v>44</v>
      </c>
      <c r="M4" s="82" t="s">
        <v>44</v>
      </c>
      <c r="N4" s="82" t="s">
        <v>44</v>
      </c>
      <c r="O4" s="82" t="s">
        <v>44</v>
      </c>
      <c r="P4" s="82" t="s">
        <v>44</v>
      </c>
      <c r="Q4" s="82" t="s">
        <v>46</v>
      </c>
      <c r="R4" s="82" t="s">
        <v>45</v>
      </c>
      <c r="S4" s="82" t="s">
        <v>45</v>
      </c>
      <c r="T4" s="82" t="s">
        <v>45</v>
      </c>
      <c r="U4" s="82" t="s">
        <v>44</v>
      </c>
      <c r="V4" s="82" t="s">
        <v>46</v>
      </c>
      <c r="W4" s="82" t="s">
        <v>44</v>
      </c>
      <c r="X4" s="82" t="s">
        <v>44</v>
      </c>
      <c r="Y4" s="82" t="s">
        <v>44</v>
      </c>
      <c r="Z4" s="82" t="s">
        <v>44</v>
      </c>
      <c r="AA4" s="82" t="s">
        <v>44</v>
      </c>
      <c r="AB4" s="82" t="s">
        <v>44</v>
      </c>
      <c r="AC4" s="148">
        <f t="shared" si="2"/>
        <v>1</v>
      </c>
      <c r="AD4" s="149">
        <f t="shared" si="3"/>
        <v>1</v>
      </c>
      <c r="AE4" s="150" t="str">
        <f t="shared" si="4"/>
        <v>E</v>
      </c>
    </row>
    <row r="5" spans="1:31" ht="15.75" customHeight="1" x14ac:dyDescent="0.25">
      <c r="A5" s="1"/>
      <c r="B5" s="132" t="s">
        <v>150</v>
      </c>
      <c r="C5" s="133" t="str">
        <f t="shared" si="0"/>
        <v>Brasil</v>
      </c>
      <c r="D5" s="133" t="str">
        <f t="shared" si="1"/>
        <v>Japão</v>
      </c>
      <c r="E5" s="147" t="s">
        <v>48</v>
      </c>
      <c r="F5" s="135"/>
      <c r="G5" s="136"/>
      <c r="H5" s="137"/>
      <c r="I5" s="46" t="s">
        <v>44</v>
      </c>
      <c r="J5" s="117" t="s">
        <v>44</v>
      </c>
      <c r="K5" s="46" t="s">
        <v>44</v>
      </c>
      <c r="L5" s="46" t="s">
        <v>44</v>
      </c>
      <c r="M5" s="46" t="s">
        <v>44</v>
      </c>
      <c r="N5" s="46" t="s">
        <v>44</v>
      </c>
      <c r="O5" s="46" t="s">
        <v>44</v>
      </c>
      <c r="P5" s="46" t="s">
        <v>44</v>
      </c>
      <c r="Q5" s="46" t="s">
        <v>44</v>
      </c>
      <c r="R5" s="46" t="s">
        <v>44</v>
      </c>
      <c r="S5" s="46" t="s">
        <v>44</v>
      </c>
      <c r="T5" s="46" t="s">
        <v>44</v>
      </c>
      <c r="U5" s="46" t="s">
        <v>44</v>
      </c>
      <c r="V5" s="46" t="s">
        <v>44</v>
      </c>
      <c r="W5" s="46" t="s">
        <v>44</v>
      </c>
      <c r="X5" s="46" t="s">
        <v>44</v>
      </c>
      <c r="Y5" s="46" t="s">
        <v>44</v>
      </c>
      <c r="Z5" s="46" t="s">
        <v>44</v>
      </c>
      <c r="AA5" s="46" t="s">
        <v>44</v>
      </c>
      <c r="AB5" s="46" t="s">
        <v>44</v>
      </c>
      <c r="AC5" s="151">
        <f t="shared" si="2"/>
        <v>2</v>
      </c>
      <c r="AD5" s="152">
        <f t="shared" si="3"/>
        <v>1</v>
      </c>
      <c r="AE5" s="153" t="str">
        <f t="shared" si="4"/>
        <v>A</v>
      </c>
    </row>
    <row r="6" spans="1:31" ht="15.75" customHeight="1" x14ac:dyDescent="0.25">
      <c r="A6" s="1">
        <v>46203</v>
      </c>
      <c r="B6" s="142" t="s">
        <v>151</v>
      </c>
      <c r="C6" s="66" t="str">
        <f t="shared" si="0"/>
        <v>França</v>
      </c>
      <c r="D6" s="66" t="str">
        <f t="shared" si="1"/>
        <v>Suécia</v>
      </c>
      <c r="E6" s="134" t="s">
        <v>152</v>
      </c>
      <c r="F6" s="135"/>
      <c r="G6" s="136"/>
      <c r="H6" s="143"/>
      <c r="I6" s="63" t="s">
        <v>44</v>
      </c>
      <c r="J6" s="112" t="s">
        <v>44</v>
      </c>
      <c r="K6" s="63" t="s">
        <v>44</v>
      </c>
      <c r="L6" s="63" t="s">
        <v>44</v>
      </c>
      <c r="M6" s="63" t="s">
        <v>44</v>
      </c>
      <c r="N6" s="63" t="s">
        <v>44</v>
      </c>
      <c r="O6" s="63" t="s">
        <v>44</v>
      </c>
      <c r="P6" s="63" t="s">
        <v>44</v>
      </c>
      <c r="Q6" s="63" t="s">
        <v>44</v>
      </c>
      <c r="R6" s="63" t="s">
        <v>44</v>
      </c>
      <c r="S6" s="63" t="s">
        <v>44</v>
      </c>
      <c r="T6" s="63" t="s">
        <v>44</v>
      </c>
      <c r="U6" s="63" t="s">
        <v>44</v>
      </c>
      <c r="V6" s="63" t="s">
        <v>44</v>
      </c>
      <c r="W6" s="63" t="s">
        <v>44</v>
      </c>
      <c r="X6" s="63" t="s">
        <v>44</v>
      </c>
      <c r="Y6" s="63" t="s">
        <v>44</v>
      </c>
      <c r="Z6" s="63" t="s">
        <v>44</v>
      </c>
      <c r="AA6" s="63" t="s">
        <v>44</v>
      </c>
      <c r="AB6" s="63" t="s">
        <v>44</v>
      </c>
      <c r="AC6" s="144">
        <f t="shared" si="2"/>
        <v>3</v>
      </c>
      <c r="AD6" s="145">
        <f t="shared" si="3"/>
        <v>0</v>
      </c>
      <c r="AE6" s="146" t="str">
        <f t="shared" si="4"/>
        <v>A</v>
      </c>
    </row>
    <row r="7" spans="1:31" ht="15.75" customHeight="1" x14ac:dyDescent="0.25">
      <c r="A7" s="1"/>
      <c r="B7" s="33" t="s">
        <v>153</v>
      </c>
      <c r="C7" s="34" t="str">
        <f t="shared" si="0"/>
        <v>Costa do Marfim</v>
      </c>
      <c r="D7" s="34" t="str">
        <f t="shared" si="1"/>
        <v>Noruega</v>
      </c>
      <c r="E7" s="147" t="s">
        <v>108</v>
      </c>
      <c r="F7" s="135"/>
      <c r="G7" s="136"/>
      <c r="H7" s="143"/>
      <c r="I7" s="82" t="s">
        <v>45</v>
      </c>
      <c r="J7" s="113" t="s">
        <v>44</v>
      </c>
      <c r="K7" s="82" t="s">
        <v>45</v>
      </c>
      <c r="L7" s="82" t="s">
        <v>45</v>
      </c>
      <c r="M7" s="82" t="s">
        <v>45</v>
      </c>
      <c r="N7" s="82" t="s">
        <v>45</v>
      </c>
      <c r="O7" s="82" t="s">
        <v>45</v>
      </c>
      <c r="P7" s="82" t="s">
        <v>45</v>
      </c>
      <c r="Q7" s="82" t="s">
        <v>44</v>
      </c>
      <c r="R7" s="82" t="s">
        <v>45</v>
      </c>
      <c r="S7" s="82" t="s">
        <v>45</v>
      </c>
      <c r="T7" s="82" t="s">
        <v>46</v>
      </c>
      <c r="U7" s="82" t="s">
        <v>45</v>
      </c>
      <c r="V7" s="82" t="s">
        <v>46</v>
      </c>
      <c r="W7" s="82" t="s">
        <v>46</v>
      </c>
      <c r="X7" s="82" t="s">
        <v>44</v>
      </c>
      <c r="Y7" s="82" t="s">
        <v>46</v>
      </c>
      <c r="Z7" s="82" t="s">
        <v>44</v>
      </c>
      <c r="AA7" s="82" t="s">
        <v>45</v>
      </c>
      <c r="AB7" s="82" t="s">
        <v>45</v>
      </c>
      <c r="AC7" s="148">
        <f t="shared" si="2"/>
        <v>1</v>
      </c>
      <c r="AD7" s="149">
        <f t="shared" si="3"/>
        <v>2</v>
      </c>
      <c r="AE7" s="150" t="str">
        <f t="shared" si="4"/>
        <v>B</v>
      </c>
    </row>
    <row r="8" spans="1:31" ht="15.75" customHeight="1" x14ac:dyDescent="0.25">
      <c r="A8" s="1"/>
      <c r="B8" s="132" t="s">
        <v>154</v>
      </c>
      <c r="C8" s="133" t="str">
        <f t="shared" si="0"/>
        <v>México</v>
      </c>
      <c r="D8" s="133" t="str">
        <f t="shared" si="1"/>
        <v>Equador</v>
      </c>
      <c r="E8" s="147" t="s">
        <v>43</v>
      </c>
      <c r="F8" s="135"/>
      <c r="G8" s="136"/>
      <c r="H8" s="137"/>
      <c r="I8" s="46" t="s">
        <v>44</v>
      </c>
      <c r="J8" s="117" t="s">
        <v>44</v>
      </c>
      <c r="K8" s="46" t="s">
        <v>44</v>
      </c>
      <c r="L8" s="46" t="s">
        <v>44</v>
      </c>
      <c r="M8" s="46" t="s">
        <v>44</v>
      </c>
      <c r="N8" s="46" t="s">
        <v>44</v>
      </c>
      <c r="O8" s="46" t="s">
        <v>44</v>
      </c>
      <c r="P8" s="46" t="s">
        <v>44</v>
      </c>
      <c r="Q8" s="46" t="s">
        <v>45</v>
      </c>
      <c r="R8" s="46" t="s">
        <v>45</v>
      </c>
      <c r="S8" s="46" t="s">
        <v>44</v>
      </c>
      <c r="T8" s="46" t="s">
        <v>46</v>
      </c>
      <c r="U8" s="46" t="s">
        <v>45</v>
      </c>
      <c r="V8" s="46" t="s">
        <v>44</v>
      </c>
      <c r="W8" s="46" t="s">
        <v>44</v>
      </c>
      <c r="X8" s="46" t="s">
        <v>44</v>
      </c>
      <c r="Y8" s="46" t="s">
        <v>45</v>
      </c>
      <c r="Z8" s="46" t="s">
        <v>44</v>
      </c>
      <c r="AA8" s="46" t="s">
        <v>44</v>
      </c>
      <c r="AB8" s="46" t="s">
        <v>44</v>
      </c>
      <c r="AC8" s="151">
        <f t="shared" si="2"/>
        <v>2</v>
      </c>
      <c r="AD8" s="152">
        <f t="shared" si="3"/>
        <v>0</v>
      </c>
      <c r="AE8" s="153" t="str">
        <f t="shared" si="4"/>
        <v>A</v>
      </c>
    </row>
    <row r="9" spans="1:31" ht="15.75" customHeight="1" x14ac:dyDescent="0.25">
      <c r="A9" s="1">
        <v>46204</v>
      </c>
      <c r="B9" s="142" t="s">
        <v>155</v>
      </c>
      <c r="C9" s="66" t="str">
        <f t="shared" si="0"/>
        <v>Inglaterra</v>
      </c>
      <c r="D9" s="66" t="str">
        <f t="shared" si="1"/>
        <v>Rep. Dem. Congo</v>
      </c>
      <c r="E9" s="134" t="s">
        <v>48</v>
      </c>
      <c r="F9" s="135"/>
      <c r="G9" s="136"/>
      <c r="H9" s="143"/>
      <c r="I9" s="63" t="s">
        <v>44</v>
      </c>
      <c r="J9" s="63" t="s">
        <v>44</v>
      </c>
      <c r="K9" s="63" t="s">
        <v>44</v>
      </c>
      <c r="L9" s="63" t="s">
        <v>44</v>
      </c>
      <c r="M9" s="63" t="s">
        <v>44</v>
      </c>
      <c r="N9" s="63" t="s">
        <v>44</v>
      </c>
      <c r="O9" s="63" t="s">
        <v>44</v>
      </c>
      <c r="P9" s="63" t="s">
        <v>44</v>
      </c>
      <c r="Q9" s="63" t="s">
        <v>44</v>
      </c>
      <c r="R9" s="63" t="s">
        <v>44</v>
      </c>
      <c r="S9" s="63" t="s">
        <v>44</v>
      </c>
      <c r="T9" s="63" t="s">
        <v>44</v>
      </c>
      <c r="U9" s="63" t="s">
        <v>44</v>
      </c>
      <c r="V9" s="63" t="s">
        <v>44</v>
      </c>
      <c r="W9" s="63" t="s">
        <v>44</v>
      </c>
      <c r="X9" s="63" t="s">
        <v>44</v>
      </c>
      <c r="Y9" s="63" t="s">
        <v>44</v>
      </c>
      <c r="Z9" s="63" t="s">
        <v>44</v>
      </c>
      <c r="AA9" s="63" t="s">
        <v>44</v>
      </c>
      <c r="AB9" s="63"/>
      <c r="AC9" s="144">
        <f t="shared" si="2"/>
        <v>2</v>
      </c>
      <c r="AD9" s="145">
        <f t="shared" si="3"/>
        <v>1</v>
      </c>
      <c r="AE9" s="146" t="str">
        <f t="shared" si="4"/>
        <v>A</v>
      </c>
    </row>
    <row r="10" spans="1:31" ht="15.75" customHeight="1" x14ac:dyDescent="0.25">
      <c r="A10" s="1"/>
      <c r="B10" s="33" t="s">
        <v>156</v>
      </c>
      <c r="C10" s="34" t="str">
        <f t="shared" si="0"/>
        <v>Estados Unidos</v>
      </c>
      <c r="D10" s="34" t="str">
        <f t="shared" si="1"/>
        <v>Bósnia e Herzeg.</v>
      </c>
      <c r="E10" s="147" t="s">
        <v>43</v>
      </c>
      <c r="F10" s="135"/>
      <c r="G10" s="136"/>
      <c r="H10" s="143"/>
      <c r="I10" s="82" t="s">
        <v>44</v>
      </c>
      <c r="J10" s="82" t="s">
        <v>44</v>
      </c>
      <c r="K10" s="82" t="s">
        <v>44</v>
      </c>
      <c r="L10" s="82" t="s">
        <v>44</v>
      </c>
      <c r="M10" s="82" t="s">
        <v>44</v>
      </c>
      <c r="N10" s="82" t="s">
        <v>44</v>
      </c>
      <c r="O10" s="82" t="s">
        <v>44</v>
      </c>
      <c r="P10" s="82" t="s">
        <v>44</v>
      </c>
      <c r="Q10" s="82" t="s">
        <v>44</v>
      </c>
      <c r="R10" s="82" t="s">
        <v>44</v>
      </c>
      <c r="S10" s="82" t="s">
        <v>44</v>
      </c>
      <c r="T10" s="82" t="s">
        <v>44</v>
      </c>
      <c r="U10" s="82" t="s">
        <v>44</v>
      </c>
      <c r="V10" s="82" t="s">
        <v>44</v>
      </c>
      <c r="W10" s="82" t="s">
        <v>44</v>
      </c>
      <c r="X10" s="82" t="s">
        <v>44</v>
      </c>
      <c r="Y10" s="82" t="s">
        <v>44</v>
      </c>
      <c r="Z10" s="82" t="s">
        <v>44</v>
      </c>
      <c r="AA10" s="82" t="s">
        <v>44</v>
      </c>
      <c r="AB10" s="82" t="s">
        <v>44</v>
      </c>
      <c r="AC10" s="148">
        <f t="shared" si="2"/>
        <v>2</v>
      </c>
      <c r="AD10" s="149">
        <f t="shared" si="3"/>
        <v>0</v>
      </c>
      <c r="AE10" s="150" t="str">
        <f t="shared" si="4"/>
        <v>A</v>
      </c>
    </row>
    <row r="11" spans="1:31" ht="15.75" customHeight="1" x14ac:dyDescent="0.25">
      <c r="A11" s="1"/>
      <c r="B11" s="132" t="s">
        <v>157</v>
      </c>
      <c r="C11" s="133" t="str">
        <f t="shared" si="0"/>
        <v>Bélgica</v>
      </c>
      <c r="D11" s="133" t="str">
        <f t="shared" si="1"/>
        <v>Senegal</v>
      </c>
      <c r="E11" s="147" t="s">
        <v>63</v>
      </c>
      <c r="F11" s="135"/>
      <c r="G11" s="136" t="s">
        <v>44</v>
      </c>
      <c r="H11" s="137"/>
      <c r="I11" s="46" t="s">
        <v>44</v>
      </c>
      <c r="J11" s="117" t="s">
        <v>45</v>
      </c>
      <c r="K11" s="46" t="s">
        <v>45</v>
      </c>
      <c r="L11" s="46" t="s">
        <v>44</v>
      </c>
      <c r="M11" s="46" t="s">
        <v>44</v>
      </c>
      <c r="N11" s="46" t="s">
        <v>45</v>
      </c>
      <c r="O11" s="46" t="s">
        <v>45</v>
      </c>
      <c r="P11" s="46" t="s">
        <v>44</v>
      </c>
      <c r="Q11" s="46" t="s">
        <v>46</v>
      </c>
      <c r="R11" s="46" t="s">
        <v>45</v>
      </c>
      <c r="S11" s="46" t="s">
        <v>44</v>
      </c>
      <c r="T11" s="46" t="s">
        <v>45</v>
      </c>
      <c r="U11" s="46" t="s">
        <v>45</v>
      </c>
      <c r="V11" s="46" t="s">
        <v>46</v>
      </c>
      <c r="W11" s="46" t="s">
        <v>44</v>
      </c>
      <c r="X11" s="46" t="s">
        <v>45</v>
      </c>
      <c r="Y11" s="46" t="s">
        <v>45</v>
      </c>
      <c r="Z11" s="46" t="s">
        <v>44</v>
      </c>
      <c r="AA11" s="46" t="s">
        <v>45</v>
      </c>
      <c r="AB11" s="46" t="s">
        <v>46</v>
      </c>
      <c r="AC11" s="151">
        <f t="shared" si="2"/>
        <v>2</v>
      </c>
      <c r="AD11" s="152">
        <f t="shared" si="3"/>
        <v>2</v>
      </c>
      <c r="AE11" s="153" t="str">
        <f t="shared" si="4"/>
        <v>E</v>
      </c>
    </row>
    <row r="12" spans="1:31" ht="15.75" customHeight="1" x14ac:dyDescent="0.25">
      <c r="A12" s="1">
        <v>46205</v>
      </c>
      <c r="B12" s="142" t="s">
        <v>158</v>
      </c>
      <c r="C12" s="66" t="str">
        <f t="shared" si="0"/>
        <v>Portugal</v>
      </c>
      <c r="D12" s="66" t="str">
        <f t="shared" si="1"/>
        <v>Croácia</v>
      </c>
      <c r="E12" s="134" t="s">
        <v>48</v>
      </c>
      <c r="F12" s="135"/>
      <c r="G12" s="136"/>
      <c r="H12" s="143"/>
      <c r="I12" s="63" t="s">
        <v>44</v>
      </c>
      <c r="J12" s="112" t="s">
        <v>44</v>
      </c>
      <c r="K12" s="63" t="s">
        <v>46</v>
      </c>
      <c r="L12" s="63" t="s">
        <v>44</v>
      </c>
      <c r="M12" s="63" t="s">
        <v>46</v>
      </c>
      <c r="N12" s="63" t="s">
        <v>44</v>
      </c>
      <c r="O12" s="63" t="s">
        <v>44</v>
      </c>
      <c r="P12" s="63" t="s">
        <v>44</v>
      </c>
      <c r="Q12" s="63" t="s">
        <v>45</v>
      </c>
      <c r="R12" s="63" t="s">
        <v>44</v>
      </c>
      <c r="S12" s="63" t="s">
        <v>46</v>
      </c>
      <c r="T12" s="63" t="s">
        <v>46</v>
      </c>
      <c r="U12" s="63" t="s">
        <v>44</v>
      </c>
      <c r="V12" s="63" t="s">
        <v>45</v>
      </c>
      <c r="W12" s="63" t="s">
        <v>44</v>
      </c>
      <c r="X12" s="63" t="s">
        <v>44</v>
      </c>
      <c r="Y12" s="63" t="s">
        <v>45</v>
      </c>
      <c r="Z12" s="63" t="s">
        <v>44</v>
      </c>
      <c r="AA12" s="63" t="s">
        <v>46</v>
      </c>
      <c r="AB12" s="63" t="s">
        <v>45</v>
      </c>
      <c r="AC12" s="144">
        <f t="shared" si="2"/>
        <v>2</v>
      </c>
      <c r="AD12" s="145">
        <f t="shared" si="3"/>
        <v>1</v>
      </c>
      <c r="AE12" s="146" t="str">
        <f t="shared" si="4"/>
        <v>A</v>
      </c>
    </row>
    <row r="13" spans="1:31" ht="15.75" customHeight="1" x14ac:dyDescent="0.25">
      <c r="A13" s="1"/>
      <c r="B13" s="33" t="s">
        <v>159</v>
      </c>
      <c r="C13" s="34" t="str">
        <f t="shared" si="0"/>
        <v>Espanha</v>
      </c>
      <c r="D13" s="34" t="str">
        <f t="shared" si="1"/>
        <v>Áustria</v>
      </c>
      <c r="E13" s="147" t="s">
        <v>76</v>
      </c>
      <c r="F13" s="135"/>
      <c r="G13" s="136"/>
      <c r="H13" s="143"/>
      <c r="I13" s="82" t="s">
        <v>44</v>
      </c>
      <c r="J13" s="82" t="s">
        <v>44</v>
      </c>
      <c r="K13" s="82" t="s">
        <v>44</v>
      </c>
      <c r="L13" s="82" t="s">
        <v>44</v>
      </c>
      <c r="M13" s="82" t="s">
        <v>44</v>
      </c>
      <c r="N13" s="82" t="s">
        <v>44</v>
      </c>
      <c r="O13" s="82" t="s">
        <v>44</v>
      </c>
      <c r="P13" s="82" t="s">
        <v>44</v>
      </c>
      <c r="Q13" s="82" t="s">
        <v>44</v>
      </c>
      <c r="R13" s="82" t="s">
        <v>44</v>
      </c>
      <c r="S13" s="82" t="s">
        <v>44</v>
      </c>
      <c r="T13" s="82" t="s">
        <v>44</v>
      </c>
      <c r="U13" s="82" t="s">
        <v>44</v>
      </c>
      <c r="V13" s="82" t="s">
        <v>44</v>
      </c>
      <c r="W13" s="82" t="s">
        <v>44</v>
      </c>
      <c r="X13" s="82" t="s">
        <v>44</v>
      </c>
      <c r="Y13" s="82" t="s">
        <v>44</v>
      </c>
      <c r="Z13" s="82" t="s">
        <v>44</v>
      </c>
      <c r="AA13" s="82" t="s">
        <v>44</v>
      </c>
      <c r="AB13" s="82" t="s">
        <v>44</v>
      </c>
      <c r="AC13" s="148">
        <f t="shared" si="2"/>
        <v>3</v>
      </c>
      <c r="AD13" s="149">
        <f t="shared" si="3"/>
        <v>0</v>
      </c>
      <c r="AE13" s="150" t="str">
        <f t="shared" si="4"/>
        <v>A</v>
      </c>
    </row>
    <row r="14" spans="1:31" ht="15.75" customHeight="1" x14ac:dyDescent="0.25">
      <c r="A14" s="1"/>
      <c r="B14" s="132" t="s">
        <v>160</v>
      </c>
      <c r="C14" s="133" t="str">
        <f t="shared" si="0"/>
        <v>Suíça</v>
      </c>
      <c r="D14" s="133" t="str">
        <f t="shared" si="1"/>
        <v>Argélia</v>
      </c>
      <c r="E14" s="147" t="s">
        <v>43</v>
      </c>
      <c r="F14" s="135"/>
      <c r="G14" s="136"/>
      <c r="H14" s="137"/>
      <c r="I14" s="46" t="s">
        <v>44</v>
      </c>
      <c r="J14" s="117" t="s">
        <v>44</v>
      </c>
      <c r="K14" s="46" t="s">
        <v>44</v>
      </c>
      <c r="L14" s="46" t="s">
        <v>46</v>
      </c>
      <c r="M14" s="46" t="s">
        <v>44</v>
      </c>
      <c r="N14" s="46" t="s">
        <v>46</v>
      </c>
      <c r="O14" s="46" t="s">
        <v>44</v>
      </c>
      <c r="P14" s="46" t="s">
        <v>44</v>
      </c>
      <c r="Q14" s="46" t="s">
        <v>44</v>
      </c>
      <c r="R14" s="46" t="s">
        <v>46</v>
      </c>
      <c r="S14" s="46" t="s">
        <v>46</v>
      </c>
      <c r="T14" s="46" t="s">
        <v>46</v>
      </c>
      <c r="U14" s="46" t="s">
        <v>44</v>
      </c>
      <c r="V14" s="46" t="s">
        <v>44</v>
      </c>
      <c r="W14" s="46" t="s">
        <v>44</v>
      </c>
      <c r="X14" s="46" t="s">
        <v>44</v>
      </c>
      <c r="Y14" s="46" t="s">
        <v>46</v>
      </c>
      <c r="Z14" s="46" t="s">
        <v>44</v>
      </c>
      <c r="AA14" s="46" t="s">
        <v>44</v>
      </c>
      <c r="AB14" s="46" t="s">
        <v>45</v>
      </c>
      <c r="AC14" s="151">
        <f t="shared" si="2"/>
        <v>2</v>
      </c>
      <c r="AD14" s="152">
        <f t="shared" si="3"/>
        <v>0</v>
      </c>
      <c r="AE14" s="153" t="str">
        <f t="shared" si="4"/>
        <v>A</v>
      </c>
    </row>
    <row r="15" spans="1:31" ht="15.75" customHeight="1" x14ac:dyDescent="0.25">
      <c r="A15" s="1">
        <v>46206</v>
      </c>
      <c r="B15" s="142" t="s">
        <v>161</v>
      </c>
      <c r="C15" s="66" t="str">
        <f t="shared" si="0"/>
        <v>Colômbia</v>
      </c>
      <c r="D15" s="66" t="str">
        <f t="shared" si="1"/>
        <v>Gana</v>
      </c>
      <c r="E15" s="134" t="s">
        <v>162</v>
      </c>
      <c r="F15" s="135"/>
      <c r="G15" s="136"/>
      <c r="H15" s="143"/>
      <c r="I15" s="63" t="s">
        <v>44</v>
      </c>
      <c r="J15" s="63" t="s">
        <v>44</v>
      </c>
      <c r="K15" s="63" t="s">
        <v>44</v>
      </c>
      <c r="L15" s="63" t="s">
        <v>44</v>
      </c>
      <c r="M15" s="63" t="s">
        <v>44</v>
      </c>
      <c r="N15" s="63" t="s">
        <v>46</v>
      </c>
      <c r="O15" s="63" t="s">
        <v>44</v>
      </c>
      <c r="P15" s="63" t="s">
        <v>44</v>
      </c>
      <c r="Q15" s="63" t="s">
        <v>44</v>
      </c>
      <c r="R15" s="63" t="s">
        <v>44</v>
      </c>
      <c r="S15" s="63" t="s">
        <v>44</v>
      </c>
      <c r="T15" s="63" t="s">
        <v>46</v>
      </c>
      <c r="U15" s="63" t="s">
        <v>44</v>
      </c>
      <c r="V15" s="63" t="s">
        <v>46</v>
      </c>
      <c r="W15" s="63" t="s">
        <v>44</v>
      </c>
      <c r="X15" s="63" t="s">
        <v>44</v>
      </c>
      <c r="Y15" s="63" t="s">
        <v>46</v>
      </c>
      <c r="Z15" s="63" t="s">
        <v>44</v>
      </c>
      <c r="AA15" s="63" t="s">
        <v>44</v>
      </c>
      <c r="AB15" s="63" t="s">
        <v>45</v>
      </c>
      <c r="AC15" s="144" t="str">
        <f t="shared" si="2"/>
        <v/>
      </c>
      <c r="AD15" s="145" t="str">
        <f t="shared" si="3"/>
        <v/>
      </c>
      <c r="AE15" s="146" t="str">
        <f t="shared" si="4"/>
        <v/>
      </c>
    </row>
    <row r="16" spans="1:31" ht="15.75" customHeight="1" x14ac:dyDescent="0.25">
      <c r="A16" s="1"/>
      <c r="B16" s="33" t="s">
        <v>163</v>
      </c>
      <c r="C16" s="34" t="str">
        <f t="shared" si="0"/>
        <v>Argentina</v>
      </c>
      <c r="D16" s="34" t="str">
        <f t="shared" si="1"/>
        <v>Cabo Verde</v>
      </c>
      <c r="E16" s="147" t="s">
        <v>50</v>
      </c>
      <c r="F16" s="135"/>
      <c r="G16" s="136"/>
      <c r="H16" s="143"/>
      <c r="I16" s="46" t="s">
        <v>44</v>
      </c>
      <c r="J16" s="46" t="s">
        <v>44</v>
      </c>
      <c r="K16" s="46" t="s">
        <v>44</v>
      </c>
      <c r="L16" s="46" t="s">
        <v>44</v>
      </c>
      <c r="M16" s="46" t="s">
        <v>44</v>
      </c>
      <c r="N16" s="46" t="s">
        <v>44</v>
      </c>
      <c r="O16" s="46" t="s">
        <v>44</v>
      </c>
      <c r="P16" s="46" t="s">
        <v>44</v>
      </c>
      <c r="Q16" s="46" t="s">
        <v>44</v>
      </c>
      <c r="R16" s="46" t="s">
        <v>44</v>
      </c>
      <c r="S16" s="46" t="s">
        <v>44</v>
      </c>
      <c r="T16" s="46" t="s">
        <v>44</v>
      </c>
      <c r="U16" s="46" t="s">
        <v>44</v>
      </c>
      <c r="V16" s="46" t="s">
        <v>44</v>
      </c>
      <c r="W16" s="46" t="s">
        <v>44</v>
      </c>
      <c r="X16" s="46" t="s">
        <v>44</v>
      </c>
      <c r="Y16" s="46" t="s">
        <v>44</v>
      </c>
      <c r="Z16" s="46" t="s">
        <v>44</v>
      </c>
      <c r="AA16" s="46" t="s">
        <v>45</v>
      </c>
      <c r="AB16" s="46" t="s">
        <v>45</v>
      </c>
      <c r="AC16" s="148">
        <f t="shared" si="2"/>
        <v>1</v>
      </c>
      <c r="AD16" s="149">
        <f t="shared" si="3"/>
        <v>1</v>
      </c>
      <c r="AE16" s="150" t="str">
        <f t="shared" si="4"/>
        <v>E</v>
      </c>
    </row>
    <row r="17" spans="1:31" ht="15.75" customHeight="1" x14ac:dyDescent="0.25">
      <c r="A17" s="1"/>
      <c r="B17" s="132" t="s">
        <v>164</v>
      </c>
      <c r="C17" s="133" t="str">
        <f t="shared" si="0"/>
        <v>Austrália</v>
      </c>
      <c r="D17" s="133" t="str">
        <f t="shared" si="1"/>
        <v>Egito</v>
      </c>
      <c r="E17" s="147" t="s">
        <v>50</v>
      </c>
      <c r="F17" s="135"/>
      <c r="G17" s="136"/>
      <c r="H17" s="137"/>
      <c r="I17" s="46" t="s">
        <v>45</v>
      </c>
      <c r="J17" s="46" t="s">
        <v>46</v>
      </c>
      <c r="K17" s="46" t="s">
        <v>45</v>
      </c>
      <c r="L17" s="46" t="s">
        <v>46</v>
      </c>
      <c r="M17" s="46" t="s">
        <v>45</v>
      </c>
      <c r="N17" s="46"/>
      <c r="O17" s="46" t="s">
        <v>45</v>
      </c>
      <c r="P17" s="46" t="s">
        <v>45</v>
      </c>
      <c r="Q17" s="46" t="s">
        <v>45</v>
      </c>
      <c r="R17" s="46" t="s">
        <v>45</v>
      </c>
      <c r="S17" s="46" t="s">
        <v>46</v>
      </c>
      <c r="T17" s="46" t="s">
        <v>45</v>
      </c>
      <c r="U17" s="46" t="s">
        <v>45</v>
      </c>
      <c r="V17" s="46" t="s">
        <v>46</v>
      </c>
      <c r="W17" s="46" t="s">
        <v>45</v>
      </c>
      <c r="X17" s="46" t="s">
        <v>45</v>
      </c>
      <c r="Y17" s="46" t="s">
        <v>45</v>
      </c>
      <c r="Z17" s="46" t="s">
        <v>45</v>
      </c>
      <c r="AA17" s="46" t="s">
        <v>45</v>
      </c>
      <c r="AB17" s="46" t="s">
        <v>46</v>
      </c>
      <c r="AC17" s="151">
        <f t="shared" si="2"/>
        <v>1</v>
      </c>
      <c r="AD17" s="152">
        <f t="shared" si="3"/>
        <v>1</v>
      </c>
      <c r="AE17" s="153" t="str">
        <f t="shared" si="4"/>
        <v>E</v>
      </c>
    </row>
    <row r="18" spans="1:31" ht="15.75" customHeight="1" x14ac:dyDescent="0.25">
      <c r="H18" s="154" t="s">
        <v>144</v>
      </c>
      <c r="I18" s="155">
        <f t="array" ref="I18">SUMPRODUCT(--(UPPER(I2:I17)=$AE$2:$AE$17),--($AE$2:$AE$17&lt;&gt;""))+ORGANIZAÇÃO!G74</f>
        <v>52</v>
      </c>
      <c r="J18" s="123">
        <f t="array" ref="J18">SUMPRODUCT(--(UPPER(J2:J17)=$AE$2:$AE$17),--($AE$2:$AE$17&lt;&gt;""))+ORGANIZAÇÃO!H74</f>
        <v>51</v>
      </c>
      <c r="K18" s="123">
        <f t="array" ref="K18">SUMPRODUCT(--(UPPER(K2:K17)=$AE$2:$AE$17),--($AE$2:$AE$17&lt;&gt;""))+ORGANIZAÇÃO!I74</f>
        <v>51</v>
      </c>
      <c r="L18" s="123">
        <f t="array" ref="L18">SUMPRODUCT(--(UPPER(L2:L17)=$AE$2:$AE$17),--($AE$2:$AE$17&lt;&gt;""))+ORGANIZAÇÃO!J74</f>
        <v>53</v>
      </c>
      <c r="M18" s="123">
        <f t="array" ref="M18">SUMPRODUCT(--(UPPER(M2:M17)=$AE$2:$AE$17),--($AE$2:$AE$17&lt;&gt;""))+ORGANIZAÇÃO!K74</f>
        <v>48</v>
      </c>
      <c r="N18" s="123">
        <f t="array" ref="N18">SUMPRODUCT(--(UPPER(N2:N17)=$AE$2:$AE$17),--($AE$2:$AE$17&lt;&gt;""))+ORGANIZAÇÃO!L74</f>
        <v>49</v>
      </c>
      <c r="O18" s="123">
        <f t="array" ref="O18">SUMPRODUCT(--(UPPER(O2:O17)=$AE$2:$AE$17),--($AE$2:$AE$17&lt;&gt;""))+ORGANIZAÇÃO!M74</f>
        <v>54</v>
      </c>
      <c r="P18" s="123">
        <f t="array" ref="P18">SUMPRODUCT(--(UPPER(P2:P17)=$AE$2:$AE$17),--($AE$2:$AE$17&lt;&gt;""))+ORGANIZAÇÃO!N74</f>
        <v>57</v>
      </c>
      <c r="Q18" s="123">
        <f t="array" ref="Q18">SUMPRODUCT(--(UPPER(Q2:Q17)=$AE$2:$AE$17),--($AE$2:$AE$17&lt;&gt;""))+ORGANIZAÇÃO!O74</f>
        <v>47</v>
      </c>
      <c r="R18" s="123">
        <f t="array" ref="R18">SUMPRODUCT(--(UPPER(R2:R17)=$AE$2:$AE$17),--($AE$2:$AE$17&lt;&gt;""))+ORGANIZAÇÃO!P74</f>
        <v>50</v>
      </c>
      <c r="S18" s="123">
        <f t="array" ref="S18">SUMPRODUCT(--(UPPER(S2:S17)=$AE$2:$AE$17),--($AE$2:$AE$17&lt;&gt;""))+ORGANIZAÇÃO!Q74</f>
        <v>47</v>
      </c>
      <c r="T18" s="123">
        <f t="array" ref="T18">SUMPRODUCT(--(UPPER(T2:T17)=$AE$2:$AE$17),--($AE$2:$AE$17&lt;&gt;""))+ORGANIZAÇÃO!R74</f>
        <v>42</v>
      </c>
      <c r="U18" s="123">
        <f t="array" ref="U18">SUMPRODUCT(--(UPPER(U2:U17)=$AE$2:$AE$17),--($AE$2:$AE$17&lt;&gt;""))+ORGANIZAÇÃO!S74</f>
        <v>44</v>
      </c>
      <c r="V18" s="123">
        <f t="array" ref="V18">SUMPRODUCT(--(UPPER(V2:V17)=$AE$2:$AE$17),--($AE$2:$AE$17&lt;&gt;""))+ORGANIZAÇÃO!T74</f>
        <v>47</v>
      </c>
      <c r="W18" s="123">
        <f t="array" ref="W18">SUMPRODUCT(--(UPPER(W2:W17)=$AE$2:$AE$17),--($AE$2:$AE$17&lt;&gt;""))+ORGANIZAÇÃO!U74</f>
        <v>50</v>
      </c>
      <c r="X18" s="123">
        <f t="array" ref="X18">SUMPRODUCT(--(UPPER(X2:X17)=$AE$2:$AE$17),--($AE$2:$AE$17&lt;&gt;""))+ORGANIZAÇÃO!V74</f>
        <v>47</v>
      </c>
      <c r="Y18" s="123">
        <f t="array" ref="Y18">SUMPRODUCT(--(UPPER(Y2:Y17)=$AE$2:$AE$17),--($AE$2:$AE$17&lt;&gt;""))+ORGANIZAÇÃO!W74</f>
        <v>46</v>
      </c>
      <c r="Z18" s="123">
        <f t="array" ref="Z18">SUMPRODUCT(--(UPPER(Z2:Z17)=$AE$2:$AE$17),--($AE$2:$AE$17&lt;&gt;""))+ORGANIZAÇÃO!X74</f>
        <v>46</v>
      </c>
      <c r="AA18" s="123">
        <f t="array" ref="AA18">SUMPRODUCT(--(UPPER(AA2:AA17)=$AE$2:$AE$17),--($AE$2:$AE$17&lt;&gt;""))+ORGANIZAÇÃO!Y74</f>
        <v>48</v>
      </c>
      <c r="AB18" s="123">
        <f t="array" ref="AB18">SUMPRODUCT(--(UPPER(AB2:AB17)=$AE$2:$AE$17),--($AE$2:$AE$17&lt;&gt;""))+ORGANIZAÇÃO!Z74</f>
        <v>41</v>
      </c>
    </row>
  </sheetData>
  <mergeCells count="5">
    <mergeCell ref="A3:A5"/>
    <mergeCell ref="A6:A8"/>
    <mergeCell ref="A9:A11"/>
    <mergeCell ref="A12:A14"/>
    <mergeCell ref="A15:A17"/>
  </mergeCells>
  <conditionalFormatting sqref="I2:AB17">
    <cfRule type="expression" dxfId="9" priority="2">
      <formula>AND($AE2&lt;&gt;"",I2=$AE2)</formula>
    </cfRule>
    <cfRule type="expression" dxfId="8" priority="3">
      <formula>AND($AE2&lt;&gt;"",I2&lt;&gt;"",I2&lt;&gt;$AE2)</formula>
    </cfRule>
  </conditionalFormatting>
  <dataValidations count="1">
    <dataValidation type="list" allowBlank="1" showErrorMessage="1" errorTitle="Valor inválido" error="Digite apenas A (Time A), B (Time B) ou E (Empate)." promptTitle="Palpite" prompt="Escolha A, B ou E" sqref="I2:AB17" xr:uid="{00000000-0002-0000-0300-000000000000}">
      <formula1>"A,B,E"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8"/>
  <sheetViews>
    <sheetView zoomScaleNormal="100" workbookViewId="0">
      <pane ySplit="1" topLeftCell="A2" activePane="bottomLeft" state="frozen"/>
      <selection pane="bottomLeft" activeCell="E3" sqref="E3"/>
    </sheetView>
  </sheetViews>
  <sheetFormatPr defaultColWidth="8.5703125" defaultRowHeight="15" x14ac:dyDescent="0.25"/>
  <cols>
    <col min="1" max="1" width="11.85546875" customWidth="1"/>
    <col min="2" max="2" width="32.42578125" customWidth="1"/>
    <col min="3" max="4" width="20.5703125" customWidth="1"/>
    <col min="5" max="6" width="12.5703125" customWidth="1"/>
    <col min="7" max="7" width="14.28515625" customWidth="1"/>
    <col min="8" max="8" width="6" customWidth="1"/>
    <col min="9" max="31" width="16.42578125" customWidth="1"/>
  </cols>
  <sheetData>
    <row r="1" spans="1:31" ht="16.5" customHeight="1" x14ac:dyDescent="0.25">
      <c r="A1" s="124" t="s">
        <v>30</v>
      </c>
      <c r="B1" s="26" t="s">
        <v>31</v>
      </c>
      <c r="C1" s="27" t="s">
        <v>32</v>
      </c>
      <c r="D1" s="27" t="s">
        <v>33</v>
      </c>
      <c r="E1" s="28" t="s">
        <v>34</v>
      </c>
      <c r="F1" s="125" t="s">
        <v>145</v>
      </c>
      <c r="G1" s="126" t="s">
        <v>146</v>
      </c>
      <c r="H1" s="127"/>
      <c r="I1" s="30" t="s">
        <v>3</v>
      </c>
      <c r="J1" s="128" t="s">
        <v>5</v>
      </c>
      <c r="K1" s="30" t="s">
        <v>6</v>
      </c>
      <c r="L1" s="30" t="s">
        <v>35</v>
      </c>
      <c r="M1" s="30" t="s">
        <v>7</v>
      </c>
      <c r="N1" s="30" t="s">
        <v>36</v>
      </c>
      <c r="O1" s="30" t="s">
        <v>8</v>
      </c>
      <c r="P1" s="30" t="s">
        <v>9</v>
      </c>
      <c r="Q1" s="30" t="s">
        <v>18</v>
      </c>
      <c r="R1" s="30" t="s">
        <v>10</v>
      </c>
      <c r="S1" s="30" t="s">
        <v>37</v>
      </c>
      <c r="T1" s="30" t="s">
        <v>11</v>
      </c>
      <c r="U1" s="30" t="s">
        <v>12</v>
      </c>
      <c r="V1" s="30" t="s">
        <v>13</v>
      </c>
      <c r="W1" s="30" t="s">
        <v>38</v>
      </c>
      <c r="X1" s="30" t="s">
        <v>14</v>
      </c>
      <c r="Y1" s="30" t="s">
        <v>15</v>
      </c>
      <c r="Z1" s="30" t="s">
        <v>16</v>
      </c>
      <c r="AA1" s="30" t="s">
        <v>17</v>
      </c>
      <c r="AB1" s="30" t="s">
        <v>19</v>
      </c>
      <c r="AC1" s="129" t="s">
        <v>39</v>
      </c>
      <c r="AD1" s="130" t="s">
        <v>40</v>
      </c>
      <c r="AE1" s="32" t="s">
        <v>41</v>
      </c>
    </row>
    <row r="2" spans="1:31" ht="15.75" customHeight="1" x14ac:dyDescent="0.25">
      <c r="A2" s="10">
        <v>46207</v>
      </c>
      <c r="B2" s="132" t="s">
        <v>165</v>
      </c>
      <c r="C2" s="133" t="str">
        <f t="shared" ref="C2:C9" si="0">TRIM(LEFT(B2,FIND(" x ",B2)-1))</f>
        <v>Paraguai</v>
      </c>
      <c r="D2" s="133" t="str">
        <f t="shared" ref="D2:D9" si="1">TRIM(MID(B2,FIND(" x ",B2)+3,100))</f>
        <v>França</v>
      </c>
      <c r="E2" s="134" t="s">
        <v>162</v>
      </c>
      <c r="F2" s="135"/>
      <c r="G2" s="136"/>
      <c r="H2" s="137"/>
      <c r="I2" s="138"/>
      <c r="J2" s="139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40" t="str">
        <f t="shared" ref="AC2:AC9" si="2">IFERROR(VALUE(TRIM(LEFT($E2,SEARCH("x",$E2)-1))),"")</f>
        <v/>
      </c>
      <c r="AD2" s="49" t="str">
        <f t="shared" ref="AD2:AD9" si="3">IFERROR(VALUE(TRIM(MID($E2,SEARCH("x",$E2)+1,10))),"")</f>
        <v/>
      </c>
      <c r="AE2" s="121" t="str">
        <f t="shared" ref="AE2:AE9" si="4">IF(OR($AC2="",$AD2=""),"",IF($AC2&gt;$AD2,"A",IF($AC2&lt;$AD2,"B","E")))</f>
        <v/>
      </c>
    </row>
    <row r="3" spans="1:31" ht="15.75" customHeight="1" x14ac:dyDescent="0.25">
      <c r="A3" s="10"/>
      <c r="B3" s="142" t="s">
        <v>166</v>
      </c>
      <c r="C3" s="66" t="str">
        <f t="shared" si="0"/>
        <v>Canadá</v>
      </c>
      <c r="D3" s="66" t="str">
        <f t="shared" si="1"/>
        <v>Marrocos</v>
      </c>
      <c r="E3" s="134" t="s">
        <v>162</v>
      </c>
      <c r="F3" s="135"/>
      <c r="G3" s="136"/>
      <c r="H3" s="143"/>
      <c r="I3" s="63"/>
      <c r="J3" s="112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144" t="str">
        <f t="shared" si="2"/>
        <v/>
      </c>
      <c r="AD3" s="145" t="str">
        <f t="shared" si="3"/>
        <v/>
      </c>
      <c r="AE3" s="146" t="str">
        <f t="shared" si="4"/>
        <v/>
      </c>
    </row>
    <row r="4" spans="1:31" ht="15.75" customHeight="1" x14ac:dyDescent="0.25">
      <c r="A4" s="10">
        <v>46208</v>
      </c>
      <c r="B4" s="33" t="s">
        <v>167</v>
      </c>
      <c r="C4" s="34" t="str">
        <f t="shared" si="0"/>
        <v>Brasil</v>
      </c>
      <c r="D4" s="34" t="str">
        <f t="shared" si="1"/>
        <v>Noruega</v>
      </c>
      <c r="E4" s="147" t="s">
        <v>162</v>
      </c>
      <c r="F4" s="135"/>
      <c r="G4" s="136"/>
      <c r="H4" s="143"/>
      <c r="I4" s="82"/>
      <c r="J4" s="113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148" t="str">
        <f t="shared" si="2"/>
        <v/>
      </c>
      <c r="AD4" s="149" t="str">
        <f t="shared" si="3"/>
        <v/>
      </c>
      <c r="AE4" s="150" t="str">
        <f t="shared" si="4"/>
        <v/>
      </c>
    </row>
    <row r="5" spans="1:31" ht="15.75" customHeight="1" x14ac:dyDescent="0.25">
      <c r="A5" s="10"/>
      <c r="B5" s="132" t="s">
        <v>168</v>
      </c>
      <c r="C5" s="133" t="str">
        <f t="shared" si="0"/>
        <v>México</v>
      </c>
      <c r="D5" s="133" t="str">
        <f t="shared" si="1"/>
        <v>Inglaterra</v>
      </c>
      <c r="E5" s="147" t="s">
        <v>162</v>
      </c>
      <c r="F5" s="135"/>
      <c r="G5" s="136"/>
      <c r="H5" s="137"/>
      <c r="I5" s="46"/>
      <c r="J5" s="117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151" t="str">
        <f t="shared" si="2"/>
        <v/>
      </c>
      <c r="AD5" s="152" t="str">
        <f t="shared" si="3"/>
        <v/>
      </c>
      <c r="AE5" s="153" t="str">
        <f t="shared" si="4"/>
        <v/>
      </c>
    </row>
    <row r="6" spans="1:31" ht="15.75" customHeight="1" x14ac:dyDescent="0.25">
      <c r="A6" s="10">
        <v>46209</v>
      </c>
      <c r="B6" s="142" t="s">
        <v>169</v>
      </c>
      <c r="C6" s="66" t="str">
        <f t="shared" si="0"/>
        <v>Portugal</v>
      </c>
      <c r="D6" s="66" t="str">
        <f t="shared" si="1"/>
        <v>Espanha</v>
      </c>
      <c r="E6" s="134" t="s">
        <v>162</v>
      </c>
      <c r="F6" s="135"/>
      <c r="G6" s="136"/>
      <c r="H6" s="143"/>
      <c r="I6" s="63"/>
      <c r="J6" s="112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144" t="str">
        <f t="shared" si="2"/>
        <v/>
      </c>
      <c r="AD6" s="145" t="str">
        <f t="shared" si="3"/>
        <v/>
      </c>
      <c r="AE6" s="146" t="str">
        <f t="shared" si="4"/>
        <v/>
      </c>
    </row>
    <row r="7" spans="1:31" ht="15.75" customHeight="1" x14ac:dyDescent="0.25">
      <c r="A7" s="10"/>
      <c r="B7" s="33" t="s">
        <v>170</v>
      </c>
      <c r="C7" s="34" t="str">
        <f t="shared" si="0"/>
        <v>Estados Unidos</v>
      </c>
      <c r="D7" s="34" t="str">
        <f t="shared" si="1"/>
        <v>Bélgica</v>
      </c>
      <c r="E7" s="147" t="s">
        <v>162</v>
      </c>
      <c r="F7" s="135"/>
      <c r="G7" s="136"/>
      <c r="H7" s="143"/>
      <c r="I7" s="82"/>
      <c r="J7" s="1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148" t="str">
        <f t="shared" si="2"/>
        <v/>
      </c>
      <c r="AD7" s="149" t="str">
        <f t="shared" si="3"/>
        <v/>
      </c>
      <c r="AE7" s="150" t="str">
        <f t="shared" si="4"/>
        <v/>
      </c>
    </row>
    <row r="8" spans="1:31" ht="15.75" customHeight="1" x14ac:dyDescent="0.25">
      <c r="A8" s="10">
        <v>46210</v>
      </c>
      <c r="B8" s="132" t="s">
        <v>171</v>
      </c>
      <c r="C8" s="133" t="str">
        <f t="shared" si="0"/>
        <v>Vencedor Jogo 15</v>
      </c>
      <c r="D8" s="156" t="str">
        <f t="shared" si="1"/>
        <v>Egito</v>
      </c>
      <c r="E8" s="147" t="s">
        <v>162</v>
      </c>
      <c r="F8" s="135"/>
      <c r="G8" s="136"/>
      <c r="H8" s="137"/>
      <c r="I8" s="46"/>
      <c r="J8" s="117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151" t="str">
        <f t="shared" si="2"/>
        <v/>
      </c>
      <c r="AD8" s="152" t="str">
        <f t="shared" si="3"/>
        <v/>
      </c>
      <c r="AE8" s="153" t="str">
        <f t="shared" si="4"/>
        <v/>
      </c>
    </row>
    <row r="9" spans="1:31" ht="15.75" customHeight="1" x14ac:dyDescent="0.25">
      <c r="A9" s="10"/>
      <c r="B9" s="132" t="s">
        <v>172</v>
      </c>
      <c r="C9" s="157" t="str">
        <f t="shared" si="0"/>
        <v>Suíça</v>
      </c>
      <c r="D9" s="158" t="str">
        <f t="shared" si="1"/>
        <v>Vencedor Jogo 14</v>
      </c>
      <c r="E9" s="134" t="s">
        <v>162</v>
      </c>
      <c r="F9" s="135"/>
      <c r="G9" s="136"/>
      <c r="H9" s="14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144" t="str">
        <f t="shared" si="2"/>
        <v/>
      </c>
      <c r="AD9" s="145" t="str">
        <f t="shared" si="3"/>
        <v/>
      </c>
      <c r="AE9" s="146" t="str">
        <f t="shared" si="4"/>
        <v/>
      </c>
    </row>
    <row r="10" spans="1:31" ht="15.75" customHeight="1" x14ac:dyDescent="0.25">
      <c r="H10" s="154" t="s">
        <v>144</v>
      </c>
      <c r="I10" s="155">
        <f t="array" ref="I10">SUMPRODUCT(--(UPPER(I2:I9)=$AE$2:$AE$9),--($AE$2:$AE$9&lt;&gt;""))+'MATA-MATA 32'!I18</f>
        <v>52</v>
      </c>
      <c r="J10" s="123">
        <f t="array" ref="J10">SUMPRODUCT(--(UPPER(J2:J9)=$AE$2:$AE$9),--($AE$2:$AE$9&lt;&gt;""))+'MATA-MATA 32'!J18</f>
        <v>51</v>
      </c>
      <c r="K10" s="123">
        <f t="array" ref="K10">SUMPRODUCT(--(UPPER(K2:K9)=$AE$2:$AE$9),--($AE$2:$AE$9&lt;&gt;""))+'MATA-MATA 32'!K18</f>
        <v>51</v>
      </c>
      <c r="L10" s="123">
        <f t="array" ref="L10">SUMPRODUCT(--(UPPER(L2:L9)=$AE$2:$AE$9),--($AE$2:$AE$9&lt;&gt;""))+'MATA-MATA 32'!L18</f>
        <v>53</v>
      </c>
      <c r="M10" s="123">
        <f t="array" ref="M10">SUMPRODUCT(--(UPPER(M2:M9)=$AE$2:$AE$9),--($AE$2:$AE$9&lt;&gt;""))+'MATA-MATA 32'!M18</f>
        <v>48</v>
      </c>
      <c r="N10" s="123">
        <f t="array" ref="N10">SUMPRODUCT(--(UPPER(N2:N9)=$AE$2:$AE$9),--($AE$2:$AE$9&lt;&gt;""))+'MATA-MATA 32'!N18</f>
        <v>49</v>
      </c>
      <c r="O10" s="123">
        <f t="array" ref="O10">SUMPRODUCT(--(UPPER(O2:O9)=$AE$2:$AE$9),--($AE$2:$AE$9&lt;&gt;""))+'MATA-MATA 32'!O18</f>
        <v>54</v>
      </c>
      <c r="P10" s="123">
        <f t="array" ref="P10">SUMPRODUCT(--(UPPER(P2:P9)=$AE$2:$AE$9),--($AE$2:$AE$9&lt;&gt;""))+'MATA-MATA 32'!P18</f>
        <v>57</v>
      </c>
      <c r="Q10" s="123">
        <f t="array" ref="Q10">SUMPRODUCT(--(UPPER(Q2:Q9)=$AE$2:$AE$9),--($AE$2:$AE$9&lt;&gt;""))+'MATA-MATA 32'!Q18</f>
        <v>47</v>
      </c>
      <c r="R10" s="123">
        <f t="array" ref="R10">SUMPRODUCT(--(UPPER(R2:R9)=$AE$2:$AE$9),--($AE$2:$AE$9&lt;&gt;""))+'MATA-MATA 32'!R18</f>
        <v>50</v>
      </c>
      <c r="S10" s="123">
        <f t="array" ref="S10">SUMPRODUCT(--(UPPER(S2:S9)=$AE$2:$AE$9),--($AE$2:$AE$9&lt;&gt;""))+'MATA-MATA 32'!S18</f>
        <v>47</v>
      </c>
      <c r="T10" s="123">
        <f t="array" ref="T10">SUMPRODUCT(--(UPPER(T2:T9)=$AE$2:$AE$9),--($AE$2:$AE$9&lt;&gt;""))+'MATA-MATA 32'!T18</f>
        <v>42</v>
      </c>
      <c r="U10" s="123">
        <f t="array" ref="U10">SUMPRODUCT(--(UPPER(U2:U9)=$AE$2:$AE$9),--($AE$2:$AE$9&lt;&gt;""))+'MATA-MATA 32'!U18</f>
        <v>44</v>
      </c>
      <c r="V10" s="123">
        <f t="array" ref="V10">SUMPRODUCT(--(UPPER(V2:V9)=$AE$2:$AE$9),--($AE$2:$AE$9&lt;&gt;""))+'MATA-MATA 32'!V18</f>
        <v>47</v>
      </c>
      <c r="W10" s="123">
        <f t="array" ref="W10">SUMPRODUCT(--(UPPER(W2:W9)=$AE$2:$AE$9),--($AE$2:$AE$9&lt;&gt;""))+'MATA-MATA 32'!W18</f>
        <v>50</v>
      </c>
      <c r="X10" s="123">
        <f t="array" ref="X10">SUMPRODUCT(--(UPPER(X2:X9)=$AE$2:$AE$9),--($AE$2:$AE$9&lt;&gt;""))+'MATA-MATA 32'!X18</f>
        <v>47</v>
      </c>
      <c r="Y10" s="123">
        <f t="array" ref="Y10">SUMPRODUCT(--(UPPER(Y2:Y9)=$AE$2:$AE$9),--($AE$2:$AE$9&lt;&gt;""))+'MATA-MATA 32'!Y18</f>
        <v>46</v>
      </c>
      <c r="Z10" s="123">
        <f t="array" ref="Z10">SUMPRODUCT(--(UPPER(Z2:Z9)=$AE$2:$AE$9),--($AE$2:$AE$9&lt;&gt;""))+'MATA-MATA 32'!Z18</f>
        <v>46</v>
      </c>
      <c r="AA10" s="123">
        <f t="array" ref="AA10">SUMPRODUCT(--(UPPER(AA2:AA9)=$AE$2:$AE$9),--($AE$2:$AE$9&lt;&gt;""))+'MATA-MATA 32'!AA18</f>
        <v>48</v>
      </c>
      <c r="AB10" s="123">
        <f t="array" ref="AB10">SUMPRODUCT(--(UPPER(AB2:AB9)=$AE$2:$AE$9),--($AE$2:$AE$9&lt;&gt;""))+'MATA-MATA 32'!AB18</f>
        <v>41</v>
      </c>
    </row>
    <row r="11" spans="1:31" ht="15.75" customHeight="1" x14ac:dyDescent="0.25"/>
    <row r="12" spans="1:31" ht="15.75" customHeight="1" x14ac:dyDescent="0.25"/>
    <row r="13" spans="1:31" ht="15.75" customHeight="1" x14ac:dyDescent="0.25"/>
    <row r="14" spans="1:31" ht="15.75" customHeight="1" x14ac:dyDescent="0.25"/>
    <row r="15" spans="1:31" ht="15.75" customHeight="1" x14ac:dyDescent="0.25"/>
    <row r="16" spans="1:31" ht="15.75" customHeight="1" x14ac:dyDescent="0.25"/>
    <row r="17" ht="15.75" customHeight="1" x14ac:dyDescent="0.25"/>
    <row r="18" ht="15.75" customHeight="1" x14ac:dyDescent="0.25"/>
  </sheetData>
  <mergeCells count="4">
    <mergeCell ref="A2:A3"/>
    <mergeCell ref="A4:A5"/>
    <mergeCell ref="A6:A7"/>
    <mergeCell ref="A8:A9"/>
  </mergeCells>
  <conditionalFormatting sqref="I2:AB9">
    <cfRule type="expression" dxfId="7" priority="2">
      <formula>AND($AE2&lt;&gt;"",I2=$AE2)</formula>
    </cfRule>
    <cfRule type="expression" dxfId="6" priority="3">
      <formula>AND($AE2&lt;&gt;"",I2&lt;&gt;"",I2&lt;&gt;$AE2)</formula>
    </cfRule>
  </conditionalFormatting>
  <dataValidations count="1">
    <dataValidation type="list" allowBlank="1" sqref="I2:AB9" xr:uid="{00000000-0002-0000-0400-000000000000}">
      <formula1>"A,B,E"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8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1.85546875" customWidth="1"/>
    <col min="2" max="2" width="32.42578125" customWidth="1"/>
    <col min="3" max="4" width="20.5703125" customWidth="1"/>
    <col min="5" max="6" width="12.5703125" customWidth="1"/>
    <col min="7" max="7" width="14.28515625" customWidth="1"/>
    <col min="8" max="8" width="6" customWidth="1"/>
    <col min="9" max="31" width="16.42578125" customWidth="1"/>
  </cols>
  <sheetData>
    <row r="1" spans="1:31" ht="16.5" customHeight="1" x14ac:dyDescent="0.25">
      <c r="A1" s="124" t="s">
        <v>30</v>
      </c>
      <c r="B1" s="26" t="s">
        <v>31</v>
      </c>
      <c r="C1" s="27" t="s">
        <v>32</v>
      </c>
      <c r="D1" s="27" t="s">
        <v>33</v>
      </c>
      <c r="E1" s="28" t="s">
        <v>34</v>
      </c>
      <c r="F1" s="125" t="s">
        <v>145</v>
      </c>
      <c r="G1" s="126" t="s">
        <v>146</v>
      </c>
      <c r="H1" s="127"/>
      <c r="I1" s="30" t="s">
        <v>3</v>
      </c>
      <c r="J1" s="128" t="s">
        <v>5</v>
      </c>
      <c r="K1" s="30" t="s">
        <v>6</v>
      </c>
      <c r="L1" s="30" t="s">
        <v>35</v>
      </c>
      <c r="M1" s="30" t="s">
        <v>7</v>
      </c>
      <c r="N1" s="30" t="s">
        <v>36</v>
      </c>
      <c r="O1" s="30" t="s">
        <v>8</v>
      </c>
      <c r="P1" s="30" t="s">
        <v>9</v>
      </c>
      <c r="Q1" s="30" t="s">
        <v>18</v>
      </c>
      <c r="R1" s="30" t="s">
        <v>10</v>
      </c>
      <c r="S1" s="30" t="s">
        <v>37</v>
      </c>
      <c r="T1" s="30" t="s">
        <v>11</v>
      </c>
      <c r="U1" s="30" t="s">
        <v>12</v>
      </c>
      <c r="V1" s="30" t="s">
        <v>13</v>
      </c>
      <c r="W1" s="30" t="s">
        <v>38</v>
      </c>
      <c r="X1" s="30" t="s">
        <v>14</v>
      </c>
      <c r="Y1" s="30" t="s">
        <v>15</v>
      </c>
      <c r="Z1" s="30" t="s">
        <v>16</v>
      </c>
      <c r="AA1" s="30" t="s">
        <v>17</v>
      </c>
      <c r="AB1" s="30" t="s">
        <v>19</v>
      </c>
      <c r="AC1" s="129" t="s">
        <v>39</v>
      </c>
      <c r="AD1" s="130" t="s">
        <v>40</v>
      </c>
      <c r="AE1" s="32" t="s">
        <v>41</v>
      </c>
    </row>
    <row r="2" spans="1:31" ht="15.75" customHeight="1" x14ac:dyDescent="0.25">
      <c r="A2" s="131"/>
      <c r="B2" s="132" t="s">
        <v>173</v>
      </c>
      <c r="C2" s="133" t="str">
        <f>TRIM(LEFT(B2,FIND(" x ",B2)-1))</f>
        <v>Vencedor Oitava 1</v>
      </c>
      <c r="D2" s="133" t="str">
        <f>TRIM(MID(B2,FIND(" x ",B2)+3,100))</f>
        <v>Vencedor Oitava 2</v>
      </c>
      <c r="E2" s="134" t="s">
        <v>162</v>
      </c>
      <c r="F2" s="135"/>
      <c r="G2" s="136"/>
      <c r="H2" s="137"/>
      <c r="I2" s="138"/>
      <c r="J2" s="139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40" t="str">
        <f>IFERROR(VALUE(TRIM(LEFT($E2,SEARCH("x",$E2)-1))),"")</f>
        <v/>
      </c>
      <c r="AD2" s="49" t="str">
        <f>IFERROR(VALUE(TRIM(MID($E2,SEARCH("x",$E2)+1,10))),"")</f>
        <v/>
      </c>
      <c r="AE2" s="121" t="str">
        <f>IF(OR($AC2="",$AD2=""),"",IF($AC2&gt;$AD2,"A",IF($AC2&lt;$AD2,"B","E")))</f>
        <v/>
      </c>
    </row>
    <row r="3" spans="1:31" ht="15.75" customHeight="1" x14ac:dyDescent="0.25">
      <c r="A3" s="141"/>
      <c r="B3" s="142" t="s">
        <v>174</v>
      </c>
      <c r="C3" s="66" t="str">
        <f>TRIM(LEFT(B3,FIND(" x ",B3)-1))</f>
        <v>Vencedor Oitava 3</v>
      </c>
      <c r="D3" s="66" t="str">
        <f>TRIM(MID(B3,FIND(" x ",B3)+3,100))</f>
        <v>Vencedor Oitava 4</v>
      </c>
      <c r="E3" s="134" t="s">
        <v>162</v>
      </c>
      <c r="F3" s="135"/>
      <c r="G3" s="136"/>
      <c r="H3" s="143"/>
      <c r="I3" s="63"/>
      <c r="J3" s="112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144" t="str">
        <f>IFERROR(VALUE(TRIM(LEFT($E3,SEARCH("x",$E3)-1))),"")</f>
        <v/>
      </c>
      <c r="AD3" s="145" t="str">
        <f>IFERROR(VALUE(TRIM(MID($E3,SEARCH("x",$E3)+1,10))),"")</f>
        <v/>
      </c>
      <c r="AE3" s="146" t="str">
        <f>IF(OR($AC3="",$AD3=""),"",IF($AC3&gt;$AD3,"A",IF($AC3&lt;$AD3,"B","E")))</f>
        <v/>
      </c>
    </row>
    <row r="4" spans="1:31" ht="15.75" customHeight="1" x14ac:dyDescent="0.25">
      <c r="B4" s="33" t="s">
        <v>175</v>
      </c>
      <c r="C4" s="34" t="str">
        <f>TRIM(LEFT(B4,FIND(" x ",B4)-1))</f>
        <v>Vencedor Oitava 5</v>
      </c>
      <c r="D4" s="34" t="str">
        <f>TRIM(MID(B4,FIND(" x ",B4)+3,100))</f>
        <v>Vencedor Oitava 6</v>
      </c>
      <c r="E4" s="147" t="s">
        <v>162</v>
      </c>
      <c r="F4" s="135"/>
      <c r="G4" s="136"/>
      <c r="H4" s="143"/>
      <c r="I4" s="82"/>
      <c r="J4" s="113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148" t="str">
        <f>IFERROR(VALUE(TRIM(LEFT($E4,SEARCH("x",$E4)-1))),"")</f>
        <v/>
      </c>
      <c r="AD4" s="149" t="str">
        <f>IFERROR(VALUE(TRIM(MID($E4,SEARCH("x",$E4)+1,10))),"")</f>
        <v/>
      </c>
      <c r="AE4" s="150" t="str">
        <f>IF(OR($AC4="",$AD4=""),"",IF($AC4&gt;$AD4,"A",IF($AC4&lt;$AD4,"B","E")))</f>
        <v/>
      </c>
    </row>
    <row r="5" spans="1:31" ht="15.75" customHeight="1" x14ac:dyDescent="0.25">
      <c r="B5" s="132" t="s">
        <v>176</v>
      </c>
      <c r="C5" s="133" t="str">
        <f>TRIM(LEFT(B5,FIND(" x ",B5)-1))</f>
        <v>Vencedor Oitava 7</v>
      </c>
      <c r="D5" s="133" t="str">
        <f>TRIM(MID(B5,FIND(" x ",B5)+3,100))</f>
        <v>Vencedor Oitava 8</v>
      </c>
      <c r="E5" s="147" t="s">
        <v>162</v>
      </c>
      <c r="F5" s="135"/>
      <c r="G5" s="136"/>
      <c r="H5" s="137"/>
      <c r="I5" s="46"/>
      <c r="J5" s="117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151" t="str">
        <f>IFERROR(VALUE(TRIM(LEFT($E5,SEARCH("x",$E5)-1))),"")</f>
        <v/>
      </c>
      <c r="AD5" s="152" t="str">
        <f>IFERROR(VALUE(TRIM(MID($E5,SEARCH("x",$E5)+1,10))),"")</f>
        <v/>
      </c>
      <c r="AE5" s="153" t="str">
        <f>IF(OR($AC5="",$AD5=""),"",IF($AC5&gt;$AD5,"A",IF($AC5&lt;$AD5,"B","E")))</f>
        <v/>
      </c>
    </row>
    <row r="6" spans="1:31" ht="15.75" customHeight="1" x14ac:dyDescent="0.25">
      <c r="H6" s="154" t="s">
        <v>144</v>
      </c>
      <c r="I6" s="155">
        <f t="array" ref="I6">SUMPRODUCT(--(UPPER(I2:I5)=$AE$2:$AE$5),--($AE$2:$AE$5&lt;&gt;""))+'MATA-MATA 16'!I10</f>
        <v>52</v>
      </c>
      <c r="J6" s="123">
        <f t="array" ref="J6">SUMPRODUCT(--(UPPER(J2:J5)=$AE$2:$AE$5),--($AE$2:$AE$5&lt;&gt;""))+'MATA-MATA 16'!J10</f>
        <v>51</v>
      </c>
      <c r="K6" s="123">
        <f t="array" ref="K6">SUMPRODUCT(--(UPPER(K2:K5)=$AE$2:$AE$5),--($AE$2:$AE$5&lt;&gt;""))+'MATA-MATA 16'!K10</f>
        <v>51</v>
      </c>
      <c r="L6" s="123">
        <f t="array" ref="L6">SUMPRODUCT(--(UPPER(L2:L5)=$AE$2:$AE$5),--($AE$2:$AE$5&lt;&gt;""))+'MATA-MATA 16'!L10</f>
        <v>53</v>
      </c>
      <c r="M6" s="123">
        <f t="array" ref="M6">SUMPRODUCT(--(UPPER(M2:M5)=$AE$2:$AE$5),--($AE$2:$AE$5&lt;&gt;""))+'MATA-MATA 16'!M10</f>
        <v>48</v>
      </c>
      <c r="N6" s="123">
        <f t="array" ref="N6">SUMPRODUCT(--(UPPER(N2:N5)=$AE$2:$AE$5),--($AE$2:$AE$5&lt;&gt;""))+'MATA-MATA 16'!N10</f>
        <v>49</v>
      </c>
      <c r="O6" s="123">
        <f t="array" ref="O6">SUMPRODUCT(--(UPPER(O2:O5)=$AE$2:$AE$5),--($AE$2:$AE$5&lt;&gt;""))+'MATA-MATA 16'!O10</f>
        <v>54</v>
      </c>
      <c r="P6" s="123">
        <f t="array" ref="P6">SUMPRODUCT(--(UPPER(P2:P5)=$AE$2:$AE$5),--($AE$2:$AE$5&lt;&gt;""))+'MATA-MATA 16'!P10</f>
        <v>57</v>
      </c>
      <c r="Q6" s="123">
        <f t="array" ref="Q6">SUMPRODUCT(--(UPPER(Q2:Q5)=$AE$2:$AE$5),--($AE$2:$AE$5&lt;&gt;""))+'MATA-MATA 16'!Q10</f>
        <v>47</v>
      </c>
      <c r="R6" s="123">
        <f t="array" ref="R6">SUMPRODUCT(--(UPPER(R2:R5)=$AE$2:$AE$5),--($AE$2:$AE$5&lt;&gt;""))+'MATA-MATA 16'!R10</f>
        <v>50</v>
      </c>
      <c r="S6" s="123">
        <f t="array" ref="S6">SUMPRODUCT(--(UPPER(S2:S5)=$AE$2:$AE$5),--($AE$2:$AE$5&lt;&gt;""))+'MATA-MATA 16'!S10</f>
        <v>47</v>
      </c>
      <c r="T6" s="123">
        <f t="array" ref="T6">SUMPRODUCT(--(UPPER(T2:T5)=$AE$2:$AE$5),--($AE$2:$AE$5&lt;&gt;""))+'MATA-MATA 16'!T10</f>
        <v>42</v>
      </c>
      <c r="U6" s="123">
        <f t="array" ref="U6">SUMPRODUCT(--(UPPER(U2:U5)=$AE$2:$AE$5),--($AE$2:$AE$5&lt;&gt;""))+'MATA-MATA 16'!U10</f>
        <v>44</v>
      </c>
      <c r="V6" s="123">
        <f t="array" ref="V6">SUMPRODUCT(--(UPPER(V2:V5)=$AE$2:$AE$5),--($AE$2:$AE$5&lt;&gt;""))+'MATA-MATA 16'!V10</f>
        <v>47</v>
      </c>
      <c r="W6" s="123">
        <f t="array" ref="W6">SUMPRODUCT(--(UPPER(W2:W5)=$AE$2:$AE$5),--($AE$2:$AE$5&lt;&gt;""))+'MATA-MATA 16'!W10</f>
        <v>50</v>
      </c>
      <c r="X6" s="123">
        <f t="array" ref="X6">SUMPRODUCT(--(UPPER(X2:X5)=$AE$2:$AE$5),--($AE$2:$AE$5&lt;&gt;""))+'MATA-MATA 16'!X10</f>
        <v>47</v>
      </c>
      <c r="Y6" s="123">
        <f t="array" ref="Y6">SUMPRODUCT(--(UPPER(Y2:Y5)=$AE$2:$AE$5),--($AE$2:$AE$5&lt;&gt;""))+'MATA-MATA 16'!Y10</f>
        <v>46</v>
      </c>
      <c r="Z6" s="123">
        <f t="array" ref="Z6">SUMPRODUCT(--(UPPER(Z2:Z5)=$AE$2:$AE$5),--($AE$2:$AE$5&lt;&gt;""))+'MATA-MATA 16'!Z10</f>
        <v>46</v>
      </c>
      <c r="AA6" s="123">
        <f t="array" ref="AA6">SUMPRODUCT(--(UPPER(AA2:AA5)=$AE$2:$AE$5),--($AE$2:$AE$5&lt;&gt;""))+'MATA-MATA 16'!AA10</f>
        <v>48</v>
      </c>
      <c r="AB6" s="123">
        <f t="array" ref="AB6">SUMPRODUCT(--(UPPER(AB2:AB5)=$AE$2:$AE$5),--($AE$2:$AE$5&lt;&gt;""))+'MATA-MATA 16'!AB10</f>
        <v>41</v>
      </c>
    </row>
    <row r="7" spans="1:31" ht="15.75" customHeight="1" x14ac:dyDescent="0.25"/>
    <row r="8" spans="1:31" ht="15.75" customHeight="1" x14ac:dyDescent="0.25"/>
    <row r="9" spans="1:31" ht="15.75" customHeight="1" x14ac:dyDescent="0.25"/>
    <row r="10" spans="1:31" ht="15.75" customHeight="1" x14ac:dyDescent="0.25"/>
    <row r="11" spans="1:31" ht="15.75" customHeight="1" x14ac:dyDescent="0.25"/>
    <row r="12" spans="1:31" ht="15.75" customHeight="1" x14ac:dyDescent="0.25"/>
    <row r="13" spans="1:31" ht="15.75" customHeight="1" x14ac:dyDescent="0.25"/>
    <row r="14" spans="1:31" ht="15.75" customHeight="1" x14ac:dyDescent="0.25"/>
    <row r="15" spans="1:31" ht="15.75" customHeight="1" x14ac:dyDescent="0.25"/>
    <row r="16" spans="1:31" ht="15.75" customHeight="1" x14ac:dyDescent="0.25"/>
    <row r="17" ht="15.75" customHeight="1" x14ac:dyDescent="0.25"/>
    <row r="18" ht="15.75" customHeight="1" x14ac:dyDescent="0.25"/>
  </sheetData>
  <conditionalFormatting sqref="I2:AB5">
    <cfRule type="expression" dxfId="5" priority="2">
      <formula>AND($AE2&lt;&gt;"",I2=$AE2)</formula>
    </cfRule>
    <cfRule type="expression" dxfId="4" priority="3">
      <formula>AND($AE2&lt;&gt;"",I2&lt;&gt;"",I2&lt;&gt;$AE2)</formula>
    </cfRule>
  </conditionalFormatting>
  <dataValidations count="1">
    <dataValidation type="list" allowBlank="1" sqref="I2:AB5" xr:uid="{00000000-0002-0000-0500-000000000000}">
      <formula1>"A,B,E"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8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1.85546875" customWidth="1"/>
    <col min="2" max="2" width="32.42578125" customWidth="1"/>
    <col min="3" max="4" width="20.5703125" customWidth="1"/>
    <col min="5" max="6" width="12.5703125" customWidth="1"/>
    <col min="7" max="7" width="14.28515625" customWidth="1"/>
    <col min="8" max="8" width="6" customWidth="1"/>
    <col min="9" max="31" width="16.42578125" customWidth="1"/>
  </cols>
  <sheetData>
    <row r="1" spans="1:31" ht="16.5" customHeight="1" x14ac:dyDescent="0.25">
      <c r="A1" s="124" t="s">
        <v>30</v>
      </c>
      <c r="B1" s="26" t="s">
        <v>31</v>
      </c>
      <c r="C1" s="27" t="s">
        <v>32</v>
      </c>
      <c r="D1" s="27" t="s">
        <v>33</v>
      </c>
      <c r="E1" s="28" t="s">
        <v>34</v>
      </c>
      <c r="F1" s="125" t="s">
        <v>145</v>
      </c>
      <c r="G1" s="126" t="s">
        <v>146</v>
      </c>
      <c r="H1" s="127"/>
      <c r="I1" s="30" t="s">
        <v>3</v>
      </c>
      <c r="J1" s="128" t="s">
        <v>5</v>
      </c>
      <c r="K1" s="30" t="s">
        <v>6</v>
      </c>
      <c r="L1" s="30" t="s">
        <v>35</v>
      </c>
      <c r="M1" s="30" t="s">
        <v>7</v>
      </c>
      <c r="N1" s="30" t="s">
        <v>36</v>
      </c>
      <c r="O1" s="30" t="s">
        <v>8</v>
      </c>
      <c r="P1" s="30" t="s">
        <v>9</v>
      </c>
      <c r="Q1" s="30" t="s">
        <v>18</v>
      </c>
      <c r="R1" s="30" t="s">
        <v>10</v>
      </c>
      <c r="S1" s="30" t="s">
        <v>37</v>
      </c>
      <c r="T1" s="30" t="s">
        <v>11</v>
      </c>
      <c r="U1" s="30" t="s">
        <v>12</v>
      </c>
      <c r="V1" s="30" t="s">
        <v>13</v>
      </c>
      <c r="W1" s="30" t="s">
        <v>38</v>
      </c>
      <c r="X1" s="30" t="s">
        <v>14</v>
      </c>
      <c r="Y1" s="30" t="s">
        <v>15</v>
      </c>
      <c r="Z1" s="30" t="s">
        <v>16</v>
      </c>
      <c r="AA1" s="30" t="s">
        <v>17</v>
      </c>
      <c r="AB1" s="30" t="s">
        <v>19</v>
      </c>
      <c r="AC1" s="129" t="s">
        <v>39</v>
      </c>
      <c r="AD1" s="130" t="s">
        <v>40</v>
      </c>
      <c r="AE1" s="32" t="s">
        <v>41</v>
      </c>
    </row>
    <row r="2" spans="1:31" ht="15.75" customHeight="1" x14ac:dyDescent="0.25">
      <c r="A2" s="131"/>
      <c r="B2" s="132" t="s">
        <v>177</v>
      </c>
      <c r="C2" s="133" t="str">
        <f>TRIM(LEFT(B2,FIND(" x ",B2)-1))</f>
        <v>Vencedor Quarta 1</v>
      </c>
      <c r="D2" s="133" t="str">
        <f>TRIM(MID(B2,FIND(" x ",B2)+3,100))</f>
        <v>Vencedor Quarta 2</v>
      </c>
      <c r="E2" s="134" t="s">
        <v>162</v>
      </c>
      <c r="F2" s="135"/>
      <c r="G2" s="136"/>
      <c r="H2" s="137"/>
      <c r="I2" s="138"/>
      <c r="J2" s="139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40" t="str">
        <f>IFERROR(VALUE(TRIM(LEFT($E2,SEARCH("x",$E2)-1))),"")</f>
        <v/>
      </c>
      <c r="AD2" s="49" t="str">
        <f>IFERROR(VALUE(TRIM(MID($E2,SEARCH("x",$E2)+1,10))),"")</f>
        <v/>
      </c>
      <c r="AE2" s="121" t="str">
        <f>IF(OR($AC2="",$AD2=""),"",IF($AC2&gt;$AD2,"A",IF($AC2&lt;$AD2,"B","E")))</f>
        <v/>
      </c>
    </row>
    <row r="3" spans="1:31" ht="15.75" customHeight="1" x14ac:dyDescent="0.25">
      <c r="A3" s="141"/>
      <c r="B3" s="142" t="s">
        <v>178</v>
      </c>
      <c r="C3" s="66" t="str">
        <f>TRIM(LEFT(B3,FIND(" x ",B3)-1))</f>
        <v>Vencedor Quarta 3</v>
      </c>
      <c r="D3" s="66" t="str">
        <f>TRIM(MID(B3,FIND(" x ",B3)+3,100))</f>
        <v>Vencedor Quarta 4</v>
      </c>
      <c r="E3" s="134" t="s">
        <v>162</v>
      </c>
      <c r="F3" s="135"/>
      <c r="G3" s="136"/>
      <c r="H3" s="143"/>
      <c r="I3" s="63"/>
      <c r="J3" s="112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144" t="str">
        <f>IFERROR(VALUE(TRIM(LEFT($E3,SEARCH("x",$E3)-1))),"")</f>
        <v/>
      </c>
      <c r="AD3" s="145" t="str">
        <f>IFERROR(VALUE(TRIM(MID($E3,SEARCH("x",$E3)+1,10))),"")</f>
        <v/>
      </c>
      <c r="AE3" s="146" t="str">
        <f>IF(OR($AC3="",$AD3=""),"",IF($AC3&gt;$AD3,"A",IF($AC3&lt;$AD3,"B","E")))</f>
        <v/>
      </c>
    </row>
    <row r="4" spans="1:31" ht="15.75" customHeight="1" x14ac:dyDescent="0.25">
      <c r="H4" s="154" t="s">
        <v>144</v>
      </c>
      <c r="I4" s="155">
        <f t="array" ref="I4">SUMPRODUCT(--(UPPER(I2:I3)=$AE$2:$AE$3),--($AE$2:$AE$3&lt;&gt;""))+'MATA-MATA 8'!I6</f>
        <v>52</v>
      </c>
      <c r="J4" s="123">
        <f t="array" ref="J4">SUMPRODUCT(--(UPPER(J2:J3)=$AE$2:$AE$3),--($AE$2:$AE$3&lt;&gt;""))+'MATA-MATA 8'!J6</f>
        <v>51</v>
      </c>
      <c r="K4" s="123">
        <f t="array" ref="K4">SUMPRODUCT(--(UPPER(K2:K3)=$AE$2:$AE$3),--($AE$2:$AE$3&lt;&gt;""))+'MATA-MATA 8'!K6</f>
        <v>51</v>
      </c>
      <c r="L4" s="123">
        <f t="array" ref="L4">SUMPRODUCT(--(UPPER(L2:L3)=$AE$2:$AE$3),--($AE$2:$AE$3&lt;&gt;""))+'MATA-MATA 8'!L6</f>
        <v>53</v>
      </c>
      <c r="M4" s="123">
        <f t="array" ref="M4">SUMPRODUCT(--(UPPER(M2:M3)=$AE$2:$AE$3),--($AE$2:$AE$3&lt;&gt;""))+'MATA-MATA 8'!M6</f>
        <v>48</v>
      </c>
      <c r="N4" s="123">
        <f t="array" ref="N4">SUMPRODUCT(--(UPPER(N2:N3)=$AE$2:$AE$3),--($AE$2:$AE$3&lt;&gt;""))+'MATA-MATA 8'!N6</f>
        <v>49</v>
      </c>
      <c r="O4" s="123">
        <f t="array" ref="O4">SUMPRODUCT(--(UPPER(O2:O3)=$AE$2:$AE$3),--($AE$2:$AE$3&lt;&gt;""))+'MATA-MATA 8'!O6</f>
        <v>54</v>
      </c>
      <c r="P4" s="123">
        <f t="array" ref="P4">SUMPRODUCT(--(UPPER(P2:P3)=$AE$2:$AE$3),--($AE$2:$AE$3&lt;&gt;""))+'MATA-MATA 8'!P6</f>
        <v>57</v>
      </c>
      <c r="Q4" s="123">
        <f t="array" ref="Q4">SUMPRODUCT(--(UPPER(Q2:Q3)=$AE$2:$AE$3),--($AE$2:$AE$3&lt;&gt;""))+'MATA-MATA 8'!Q6</f>
        <v>47</v>
      </c>
      <c r="R4" s="123">
        <f t="array" ref="R4">SUMPRODUCT(--(UPPER(R2:R3)=$AE$2:$AE$3),--($AE$2:$AE$3&lt;&gt;""))+'MATA-MATA 8'!R6</f>
        <v>50</v>
      </c>
      <c r="S4" s="123">
        <f t="array" ref="S4">SUMPRODUCT(--(UPPER(S2:S3)=$AE$2:$AE$3),--($AE$2:$AE$3&lt;&gt;""))+'MATA-MATA 8'!S6</f>
        <v>47</v>
      </c>
      <c r="T4" s="123">
        <f t="array" ref="T4">SUMPRODUCT(--(UPPER(T2:T3)=$AE$2:$AE$3),--($AE$2:$AE$3&lt;&gt;""))+'MATA-MATA 8'!T6</f>
        <v>42</v>
      </c>
      <c r="U4" s="123">
        <f t="array" ref="U4">SUMPRODUCT(--(UPPER(U2:U3)=$AE$2:$AE$3),--($AE$2:$AE$3&lt;&gt;""))+'MATA-MATA 8'!U6</f>
        <v>44</v>
      </c>
      <c r="V4" s="123">
        <f t="array" ref="V4">SUMPRODUCT(--(UPPER(V2:V3)=$AE$2:$AE$3),--($AE$2:$AE$3&lt;&gt;""))+'MATA-MATA 8'!V6</f>
        <v>47</v>
      </c>
      <c r="W4" s="123">
        <f t="array" ref="W4">SUMPRODUCT(--(UPPER(W2:W3)=$AE$2:$AE$3),--($AE$2:$AE$3&lt;&gt;""))+'MATA-MATA 8'!W6</f>
        <v>50</v>
      </c>
      <c r="X4" s="123">
        <f t="array" ref="X4">SUMPRODUCT(--(UPPER(X2:X3)=$AE$2:$AE$3),--($AE$2:$AE$3&lt;&gt;""))+'MATA-MATA 8'!X6</f>
        <v>47</v>
      </c>
      <c r="Y4" s="123">
        <f t="array" ref="Y4">SUMPRODUCT(--(UPPER(Y2:Y3)=$AE$2:$AE$3),--($AE$2:$AE$3&lt;&gt;""))+'MATA-MATA 8'!Y6</f>
        <v>46</v>
      </c>
      <c r="Z4" s="123">
        <f t="array" ref="Z4">SUMPRODUCT(--(UPPER(Z2:Z3)=$AE$2:$AE$3),--($AE$2:$AE$3&lt;&gt;""))+'MATA-MATA 8'!Z6</f>
        <v>46</v>
      </c>
      <c r="AA4" s="123">
        <f t="array" ref="AA4">SUMPRODUCT(--(UPPER(AA2:AA3)=$AE$2:$AE$3),--($AE$2:$AE$3&lt;&gt;""))+'MATA-MATA 8'!AA6</f>
        <v>48</v>
      </c>
      <c r="AB4" s="123">
        <f t="array" ref="AB4">SUMPRODUCT(--(UPPER(AB2:AB3)=$AE$2:$AE$3),--($AE$2:$AE$3&lt;&gt;""))+'MATA-MATA 8'!AB6</f>
        <v>41</v>
      </c>
    </row>
    <row r="5" spans="1:31" ht="15.75" customHeight="1" x14ac:dyDescent="0.25"/>
    <row r="6" spans="1:31" ht="15.75" customHeight="1" x14ac:dyDescent="0.25"/>
    <row r="7" spans="1:31" ht="15.75" customHeight="1" x14ac:dyDescent="0.25"/>
    <row r="8" spans="1:31" ht="15.75" customHeight="1" x14ac:dyDescent="0.25"/>
    <row r="9" spans="1:31" ht="15.75" customHeight="1" x14ac:dyDescent="0.25"/>
    <row r="10" spans="1:31" ht="15.75" customHeight="1" x14ac:dyDescent="0.25"/>
    <row r="11" spans="1:31" ht="15.75" customHeight="1" x14ac:dyDescent="0.25"/>
    <row r="12" spans="1:31" ht="15.75" customHeight="1" x14ac:dyDescent="0.25"/>
    <row r="13" spans="1:31" ht="15.75" customHeight="1" x14ac:dyDescent="0.25"/>
    <row r="14" spans="1:31" ht="15.75" customHeight="1" x14ac:dyDescent="0.25"/>
    <row r="15" spans="1:31" ht="15.75" customHeight="1" x14ac:dyDescent="0.25"/>
    <row r="16" spans="1:31" ht="15.75" customHeight="1" x14ac:dyDescent="0.25"/>
    <row r="17" ht="15.75" customHeight="1" x14ac:dyDescent="0.25"/>
    <row r="18" ht="15.75" customHeight="1" x14ac:dyDescent="0.25"/>
  </sheetData>
  <conditionalFormatting sqref="I2:AB3">
    <cfRule type="expression" dxfId="3" priority="2">
      <formula>AND($AE2&lt;&gt;"",I2=$AE2)</formula>
    </cfRule>
    <cfRule type="expression" dxfId="2" priority="3">
      <formula>AND($AE2&lt;&gt;"",I2&lt;&gt;"",I2&lt;&gt;$AE2)</formula>
    </cfRule>
  </conditionalFormatting>
  <dataValidations count="1">
    <dataValidation type="list" allowBlank="1" sqref="I2:AB3" xr:uid="{00000000-0002-0000-0600-000000000000}">
      <formula1>"A,B,E"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8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1.85546875" customWidth="1"/>
    <col min="2" max="2" width="32.42578125" customWidth="1"/>
    <col min="3" max="4" width="20.5703125" customWidth="1"/>
    <col min="5" max="6" width="12.5703125" customWidth="1"/>
    <col min="7" max="7" width="14.28515625" customWidth="1"/>
    <col min="8" max="8" width="6" customWidth="1"/>
    <col min="9" max="31" width="16.42578125" customWidth="1"/>
  </cols>
  <sheetData>
    <row r="1" spans="1:31" ht="16.5" customHeight="1" x14ac:dyDescent="0.25">
      <c r="A1" s="124" t="s">
        <v>30</v>
      </c>
      <c r="B1" s="26" t="s">
        <v>31</v>
      </c>
      <c r="C1" s="27" t="s">
        <v>32</v>
      </c>
      <c r="D1" s="27" t="s">
        <v>33</v>
      </c>
      <c r="E1" s="28" t="s">
        <v>34</v>
      </c>
      <c r="F1" s="125" t="s">
        <v>145</v>
      </c>
      <c r="G1" s="126" t="s">
        <v>146</v>
      </c>
      <c r="H1" s="127"/>
      <c r="I1" s="30" t="s">
        <v>3</v>
      </c>
      <c r="J1" s="128" t="s">
        <v>5</v>
      </c>
      <c r="K1" s="30" t="s">
        <v>6</v>
      </c>
      <c r="L1" s="30" t="s">
        <v>35</v>
      </c>
      <c r="M1" s="30" t="s">
        <v>7</v>
      </c>
      <c r="N1" s="30" t="s">
        <v>36</v>
      </c>
      <c r="O1" s="30" t="s">
        <v>8</v>
      </c>
      <c r="P1" s="30" t="s">
        <v>9</v>
      </c>
      <c r="Q1" s="30" t="s">
        <v>18</v>
      </c>
      <c r="R1" s="30" t="s">
        <v>10</v>
      </c>
      <c r="S1" s="30" t="s">
        <v>37</v>
      </c>
      <c r="T1" s="30" t="s">
        <v>11</v>
      </c>
      <c r="U1" s="30" t="s">
        <v>12</v>
      </c>
      <c r="V1" s="30" t="s">
        <v>13</v>
      </c>
      <c r="W1" s="30" t="s">
        <v>38</v>
      </c>
      <c r="X1" s="30" t="s">
        <v>14</v>
      </c>
      <c r="Y1" s="30" t="s">
        <v>15</v>
      </c>
      <c r="Z1" s="30" t="s">
        <v>16</v>
      </c>
      <c r="AA1" s="30" t="s">
        <v>17</v>
      </c>
      <c r="AB1" s="30" t="s">
        <v>19</v>
      </c>
      <c r="AC1" s="129" t="s">
        <v>39</v>
      </c>
      <c r="AD1" s="130" t="s">
        <v>40</v>
      </c>
      <c r="AE1" s="32" t="s">
        <v>41</v>
      </c>
    </row>
    <row r="2" spans="1:31" ht="15.75" customHeight="1" x14ac:dyDescent="0.25">
      <c r="A2" s="131"/>
      <c r="B2" s="132" t="s">
        <v>179</v>
      </c>
      <c r="C2" s="133" t="str">
        <f>TRIM(LEFT(B2,FIND(" x ",B2)-1))</f>
        <v>Vencedor Semifinal 1</v>
      </c>
      <c r="D2" s="133" t="str">
        <f>TRIM(MID(B2,FIND(" x ",B2)+3,100))</f>
        <v>Vencedor Semifinal 2</v>
      </c>
      <c r="E2" s="134" t="s">
        <v>162</v>
      </c>
      <c r="F2" s="135"/>
      <c r="G2" s="136"/>
      <c r="H2" s="137"/>
      <c r="I2" s="138"/>
      <c r="J2" s="139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40" t="str">
        <f>IFERROR(VALUE(TRIM(LEFT($E2,SEARCH("x",$E2)-1))),"")</f>
        <v/>
      </c>
      <c r="AD2" s="49" t="str">
        <f>IFERROR(VALUE(TRIM(MID($E2,SEARCH("x",$E2)+1,10))),"")</f>
        <v/>
      </c>
      <c r="AE2" s="121" t="str">
        <f>IF(OR($AC2="",$AD2=""),"",IF($AC2&gt;$AD2,"A",IF($AC2&lt;$AD2,"B","E")))</f>
        <v/>
      </c>
    </row>
    <row r="3" spans="1:31" ht="15.75" customHeight="1" x14ac:dyDescent="0.25">
      <c r="H3" s="154" t="s">
        <v>144</v>
      </c>
      <c r="I3" s="155">
        <f t="array" ref="I3">SUMPRODUCT(--(UPPER(I2:I2)=$AE$2:$AE$2),--($AE$2:$AE$2&lt;&gt;""))+'MATA-MATA 4'!I4</f>
        <v>52</v>
      </c>
      <c r="J3" s="123">
        <f t="array" ref="J3">SUMPRODUCT(--(UPPER(J2:J2)=$AE$2:$AE$2),--($AE$2:$AE$2&lt;&gt;""))+'MATA-MATA 4'!J4</f>
        <v>51</v>
      </c>
      <c r="K3" s="123">
        <f t="array" ref="K3">SUMPRODUCT(--(UPPER(K2:K2)=$AE$2:$AE$2),--($AE$2:$AE$2&lt;&gt;""))+'MATA-MATA 4'!K4</f>
        <v>51</v>
      </c>
      <c r="L3" s="123">
        <f t="array" ref="L3">SUMPRODUCT(--(UPPER(L2:L2)=$AE$2:$AE$2),--($AE$2:$AE$2&lt;&gt;""))+'MATA-MATA 4'!L4</f>
        <v>53</v>
      </c>
      <c r="M3" s="123">
        <f t="array" ref="M3">SUMPRODUCT(--(UPPER(M2:M2)=$AE$2:$AE$2),--($AE$2:$AE$2&lt;&gt;""))+'MATA-MATA 4'!M4</f>
        <v>48</v>
      </c>
      <c r="N3" s="123">
        <f t="array" ref="N3">SUMPRODUCT(--(UPPER(N2:N2)=$AE$2:$AE$2),--($AE$2:$AE$2&lt;&gt;""))+'MATA-MATA 4'!N4</f>
        <v>49</v>
      </c>
      <c r="O3" s="123">
        <f t="array" ref="O3">SUMPRODUCT(--(UPPER(O2:O2)=$AE$2:$AE$2),--($AE$2:$AE$2&lt;&gt;""))+'MATA-MATA 4'!O4</f>
        <v>54</v>
      </c>
      <c r="P3" s="123">
        <f t="array" ref="P3">SUMPRODUCT(--(UPPER(P2:P2)=$AE$2:$AE$2),--($AE$2:$AE$2&lt;&gt;""))+'MATA-MATA 4'!P4</f>
        <v>57</v>
      </c>
      <c r="Q3" s="123">
        <f t="array" ref="Q3">SUMPRODUCT(--(UPPER(Q2:Q2)=$AE$2:$AE$2),--($AE$2:$AE$2&lt;&gt;""))+'MATA-MATA 4'!Q4</f>
        <v>47</v>
      </c>
      <c r="R3" s="123">
        <f t="array" ref="R3">SUMPRODUCT(--(UPPER(R2:R2)=$AE$2:$AE$2),--($AE$2:$AE$2&lt;&gt;""))+'MATA-MATA 4'!R4</f>
        <v>50</v>
      </c>
      <c r="S3" s="123">
        <f t="array" ref="S3">SUMPRODUCT(--(UPPER(S2:S2)=$AE$2:$AE$2),--($AE$2:$AE$2&lt;&gt;""))+'MATA-MATA 4'!S4</f>
        <v>47</v>
      </c>
      <c r="T3" s="123">
        <f t="array" ref="T3">SUMPRODUCT(--(UPPER(T2:T2)=$AE$2:$AE$2),--($AE$2:$AE$2&lt;&gt;""))+'MATA-MATA 4'!T4</f>
        <v>42</v>
      </c>
      <c r="U3" s="123">
        <f t="array" ref="U3">SUMPRODUCT(--(UPPER(U2:U2)=$AE$2:$AE$2),--($AE$2:$AE$2&lt;&gt;""))+'MATA-MATA 4'!U4</f>
        <v>44</v>
      </c>
      <c r="V3" s="123">
        <f t="array" ref="V3">SUMPRODUCT(--(UPPER(V2:V2)=$AE$2:$AE$2),--($AE$2:$AE$2&lt;&gt;""))+'MATA-MATA 4'!V4</f>
        <v>47</v>
      </c>
      <c r="W3" s="123">
        <f t="array" ref="W3">SUMPRODUCT(--(UPPER(W2:W2)=$AE$2:$AE$2),--($AE$2:$AE$2&lt;&gt;""))+'MATA-MATA 4'!W4</f>
        <v>50</v>
      </c>
      <c r="X3" s="123">
        <f t="array" ref="X3">SUMPRODUCT(--(UPPER(X2:X2)=$AE$2:$AE$2),--($AE$2:$AE$2&lt;&gt;""))+'MATA-MATA 4'!X4</f>
        <v>47</v>
      </c>
      <c r="Y3" s="123">
        <f t="array" ref="Y3">SUMPRODUCT(--(UPPER(Y2:Y2)=$AE$2:$AE$2),--($AE$2:$AE$2&lt;&gt;""))+'MATA-MATA 4'!Y4</f>
        <v>46</v>
      </c>
      <c r="Z3" s="123">
        <f t="array" ref="Z3">SUMPRODUCT(--(UPPER(Z2:Z2)=$AE$2:$AE$2),--($AE$2:$AE$2&lt;&gt;""))+'MATA-MATA 4'!Z4</f>
        <v>46</v>
      </c>
      <c r="AA3" s="123">
        <f t="array" ref="AA3">SUMPRODUCT(--(UPPER(AA2:AA2)=$AE$2:$AE$2),--($AE$2:$AE$2&lt;&gt;""))+'MATA-MATA 4'!AA4</f>
        <v>48</v>
      </c>
      <c r="AB3" s="123">
        <f t="array" ref="AB3">SUMPRODUCT(--(UPPER(AB2:AB2)=$AE$2:$AE$2),--($AE$2:$AE$2&lt;&gt;""))+'MATA-MATA 4'!AB4</f>
        <v>41</v>
      </c>
    </row>
    <row r="4" spans="1:31" ht="15.75" customHeight="1" x14ac:dyDescent="0.25"/>
    <row r="5" spans="1:31" ht="15.75" customHeight="1" x14ac:dyDescent="0.25"/>
    <row r="6" spans="1:31" ht="15.75" customHeight="1" x14ac:dyDescent="0.25"/>
    <row r="7" spans="1:31" ht="15.75" customHeight="1" x14ac:dyDescent="0.25"/>
    <row r="8" spans="1:31" ht="15.75" customHeight="1" x14ac:dyDescent="0.25"/>
    <row r="9" spans="1:31" ht="15.75" customHeight="1" x14ac:dyDescent="0.25"/>
    <row r="10" spans="1:31" ht="15.75" customHeight="1" x14ac:dyDescent="0.25"/>
    <row r="11" spans="1:31" ht="15.75" customHeight="1" x14ac:dyDescent="0.25"/>
    <row r="12" spans="1:31" ht="15.75" customHeight="1" x14ac:dyDescent="0.25"/>
    <row r="13" spans="1:31" ht="15.75" customHeight="1" x14ac:dyDescent="0.25"/>
    <row r="14" spans="1:31" ht="15.75" customHeight="1" x14ac:dyDescent="0.25"/>
    <row r="15" spans="1:31" ht="15.75" customHeight="1" x14ac:dyDescent="0.25"/>
    <row r="16" spans="1:31" ht="15.75" customHeight="1" x14ac:dyDescent="0.25"/>
    <row r="17" ht="15.75" customHeight="1" x14ac:dyDescent="0.25"/>
    <row r="18" ht="15.75" customHeight="1" x14ac:dyDescent="0.25"/>
  </sheetData>
  <conditionalFormatting sqref="I2:AB2">
    <cfRule type="expression" dxfId="1" priority="2">
      <formula>AND($AE2&lt;&gt;"",I2=$AE2)</formula>
    </cfRule>
    <cfRule type="expression" dxfId="0" priority="3">
      <formula>AND($AE2&lt;&gt;"",I2&lt;&gt;"",I2&lt;&gt;$AE2)</formula>
    </cfRule>
  </conditionalFormatting>
  <dataValidations count="1">
    <dataValidation type="list" allowBlank="1" sqref="I2:AB2" xr:uid="{00000000-0002-0000-0700-000000000000}">
      <formula1>"A,B,E"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Pagamentos</vt:lpstr>
      <vt:lpstr>Apuração</vt:lpstr>
      <vt:lpstr>ORGANIZAÇÃO</vt:lpstr>
      <vt:lpstr>MATA-MATA 32</vt:lpstr>
      <vt:lpstr>MATA-MATA 16</vt:lpstr>
      <vt:lpstr>MATA-MATA 8</vt:lpstr>
      <vt:lpstr>MATA-MATA 4</vt:lpstr>
      <vt:lpstr>MATA-MATA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BOMFIM BRANCO</dc:creator>
  <dc:description/>
  <cp:lastModifiedBy>Christian Branco</cp:lastModifiedBy>
  <cp:revision>0</cp:revision>
  <dcterms:created xsi:type="dcterms:W3CDTF">2026-06-10T21:13:32Z</dcterms:created>
  <dcterms:modified xsi:type="dcterms:W3CDTF">2026-07-03T23:22:16Z</dcterms:modified>
  <dc:language>en-US</dc:language>
</cp:coreProperties>
</file>